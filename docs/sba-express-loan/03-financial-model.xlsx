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Subscribers" state="visible" r:id="rId5"/>
    <sheet sheetId="3" name="PnL" state="visible" r:id="rId6"/>
    <sheet sheetId="4" name="CashFlow" state="visible" r:id="rId7"/>
    <sheet sheetId="5" name="BalanceSheet" state="visible" r:id="rId8"/>
    <sheet sheetId="6" name="KeyMetrics" state="visible" r:id="rId9"/>
    <sheet sheetId="7" name="Amortization" state="visible" r:id="rId10"/>
    <sheet sheetId="8" name="UseOfFunds" state="visible" r:id="rId11"/>
  </sheets>
  <calcPr calcId="171027" fullCalcOnLoad="1"/>
</workbook>
</file>

<file path=xl/sharedStrings.xml><?xml version="1.0" encoding="utf-8"?>
<sst xmlns="http://schemas.openxmlformats.org/spreadsheetml/2006/main" count="237" uniqueCount="168">
  <si>
    <t>TECHTONIC LLC — ASSUMPTIONS &amp; INPUTS</t>
  </si>
  <si>
    <t>Yellow cells = EDITABLE INPUTS.  Change these and all projections update automatically.</t>
  </si>
  <si>
    <t>REVENUE ASSUMPTIONS</t>
  </si>
  <si>
    <t>Initial Consultation Fee ($)</t>
  </si>
  <si>
    <t>Monthly Subscription Fee ($)</t>
  </si>
  <si>
    <t>Follow-Up Lab Fee ($)</t>
  </si>
  <si>
    <t>Consultation-to-Subscription Rate</t>
  </si>
  <si>
    <t>Monthly Patient Churn Rate</t>
  </si>
  <si>
    <t>COGS PER SUBSCRIBER / MONTH</t>
  </si>
  <si>
    <t>Pharmacy / Medication ($)</t>
  </si>
  <si>
    <t>Provider Fees ($)</t>
  </si>
  <si>
    <t>Lab Coordination ($)</t>
  </si>
  <si>
    <t>Platform Costs ($)</t>
  </si>
  <si>
    <t>Payment Processing (% of revenue)</t>
  </si>
  <si>
    <t>LOAN TERMS</t>
  </si>
  <si>
    <t>Loan Amount ($)</t>
  </si>
  <si>
    <t>Loan Term (months)</t>
  </si>
  <si>
    <t>Annual Interest Rate</t>
  </si>
  <si>
    <t>Monthly Payment (auto-calculated)</t>
  </si>
  <si>
    <t>MONTHLY PATIENT TARGETS (Editable per month)</t>
  </si>
  <si>
    <t/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</si>
  <si>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</si>
  <si>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</si>
  <si>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</si>
  <si>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</si>
  <si>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</si>
  <si>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</si>
  <si>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</si>
  <si>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</si>
  <si>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</si>
  <si>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</si>
  <si>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</si>
  <si>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</si>
  <si>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TOTAL</t>
  </si>
  <si>
    <t>New Patients / Month</t>
  </si>
  <si>
    <t>Follow-Up Lab Patients / Month</t>
  </si>
  <si>
    <t>MONTHLY OPERATING EXPENSES (Editable per month)</t>
  </si>
  <si>
    <t>Accounting</t>
  </si>
  <si>
    <t>Legal</t>
  </si>
  <si>
    <t>Consultants</t>
  </si>
  <si>
    <t>Technology / Platform</t>
  </si>
  <si>
    <t>Digital Advertising</t>
  </si>
  <si>
    <t>Merchant Account Reserve</t>
  </si>
  <si>
    <t>Rent</t>
  </si>
  <si>
    <t>Other / Insurance / Misc</t>
  </si>
  <si>
    <t>Total Monthly OpEx</t>
  </si>
  <si>
    <t>SUBSCRIBER BUILD-UP (All Formulas — driven by Inputs sheet)</t>
  </si>
  <si>
    <t>PATIENT ACQUISITION</t>
  </si>
  <si>
    <t>New Consultations</t>
  </si>
  <si>
    <t>Conversion Rate</t>
  </si>
  <si>
    <t>New Subscribers</t>
  </si>
  <si>
    <t>SUBSCRIBER DYNAMICS</t>
  </si>
  <si>
    <t>Beginning Active (Prior EOM)</t>
  </si>
  <si>
    <t>(+) New Subscribers</t>
  </si>
  <si>
    <t>(-) Churned (churn rate x beginning)</t>
  </si>
  <si>
    <t>End of Month Active</t>
  </si>
  <si>
    <t>CUMULATIVE</t>
  </si>
  <si>
    <t>Cumulative New Patients</t>
  </si>
  <si>
    <t>Monthly Churn Rate (actual)</t>
  </si>
  <si>
    <t>PROJECTED INCOME STATEMENT (P&amp;L) — 12-MONTH PRO FORMA</t>
  </si>
  <si>
    <t>REVENUE</t>
  </si>
  <si>
    <t>Consultation Revenue</t>
  </si>
  <si>
    <t>Subscription Revenue</t>
  </si>
  <si>
    <t>Follow-Up Lab Revenue</t>
  </si>
  <si>
    <t>Total Revenue</t>
  </si>
  <si>
    <t>COST OF GOODS SOLD</t>
  </si>
  <si>
    <t>Pharmacy / Medication</t>
  </si>
  <si>
    <t>Provider Fees</t>
  </si>
  <si>
    <t>Lab Coordination</t>
  </si>
  <si>
    <t>Platform Costs</t>
  </si>
  <si>
    <t>Payment Processing</t>
  </si>
  <si>
    <t>Total COGS</t>
  </si>
  <si>
    <t>GROSS PROFIT</t>
  </si>
  <si>
    <t>Gross Profit</t>
  </si>
  <si>
    <t>Gross Margin %</t>
  </si>
  <si>
    <t>OPERATING EXPENSES (from Inputs sheet)</t>
  </si>
  <si>
    <t>Total Operating Expenses</t>
  </si>
  <si>
    <t>OPERATING INCOME</t>
  </si>
  <si>
    <t>EBITDA</t>
  </si>
  <si>
    <t>DEBT SERVICE</t>
  </si>
  <si>
    <t>SBA Loan Payment</t>
  </si>
  <si>
    <t>NET INCOME</t>
  </si>
  <si>
    <t>Net Income</t>
  </si>
  <si>
    <t>PROJECTED CASH FLOW STATEMENT — 12 MONTHS</t>
  </si>
  <si>
    <t>CASH INFLOWS</t>
  </si>
  <si>
    <t>Beginning Cash</t>
  </si>
  <si>
    <t>(+) Loan Proceeds</t>
  </si>
  <si>
    <t>(+) Total Revenue</t>
  </si>
  <si>
    <t>CASH OUTFLOWS</t>
  </si>
  <si>
    <t>(-) Total COGS</t>
  </si>
  <si>
    <t>(-) Operating Expenses</t>
  </si>
  <si>
    <t>(-) SBA Loan Payment</t>
  </si>
  <si>
    <t>Total Cash Outflows</t>
  </si>
  <si>
    <t>NET CASH POSITION</t>
  </si>
  <si>
    <t>Net Cash Flow (Month)</t>
  </si>
  <si>
    <t>Ending Cash Balance</t>
  </si>
  <si>
    <t>CASH POSITION ANALYSIS</t>
  </si>
  <si>
    <t>Minimum Cash Balance (12 mo)</t>
  </si>
  <si>
    <t>Cash Positive All 12 Months?</t>
  </si>
  <si>
    <t>Ending Cash (Month 12)</t>
  </si>
  <si>
    <t>Month 12 DSCR</t>
  </si>
  <si>
    <t>PROJECTED BALANCE SHEET — END OF YEAR 1</t>
  </si>
  <si>
    <t>Amount</t>
  </si>
  <si>
    <t>ASSETS</t>
  </si>
  <si>
    <t>Cash</t>
  </si>
  <si>
    <t>Accounts Receivable (1 mo subscription billing)</t>
  </si>
  <si>
    <t>Technology / Platform (net of 20% depreciation)</t>
  </si>
  <si>
    <t>Total Assets</t>
  </si>
  <si>
    <t>LIABILITIES</t>
  </si>
  <si>
    <t>SBA Loan Balance (after 12 payments)</t>
  </si>
  <si>
    <t>Accounts Payable (1 mo COGS)</t>
  </si>
  <si>
    <t>Total Liabilities</t>
  </si>
  <si>
    <t>EQUITY</t>
  </si>
  <si>
    <t>Owner's Equity (enter your initial contribution)</t>
  </si>
  <si>
    <t>Retained Earnings (Year 1 Net Income)</t>
  </si>
  <si>
    <t>Total Equity</t>
  </si>
  <si>
    <t>Total Liabilities + Equity</t>
  </si>
  <si>
    <t>Balance Check (should equal Total Assets)</t>
  </si>
  <si>
    <t>KEY METRICS DASHBOARD — ALL AUTO-CALCULATED</t>
  </si>
  <si>
    <t>Metric</t>
  </si>
  <si>
    <t>Value</t>
  </si>
  <si>
    <t>LOAN DETAILS</t>
  </si>
  <si>
    <t>Loan Amount</t>
  </si>
  <si>
    <t>Monthly Loan Payment</t>
  </si>
  <si>
    <t>Annual Debt Service</t>
  </si>
  <si>
    <t>YEAR 1 FINANCIAL SUMMARY</t>
  </si>
  <si>
    <t>Total Year 1 Revenue</t>
  </si>
  <si>
    <t>Total Year 1 COGS</t>
  </si>
  <si>
    <t>Total Year 1 Gross Profit</t>
  </si>
  <si>
    <t>Gross Margin</t>
  </si>
  <si>
    <t>Total Year 1 OpEx</t>
  </si>
  <si>
    <t>Year 1 Net Income</t>
  </si>
  <si>
    <t>CASH FLOW HEALTH</t>
  </si>
  <si>
    <t>Year 1 Ending Cash</t>
  </si>
  <si>
    <t>Minimum Cash Balance</t>
  </si>
  <si>
    <t>Month 12 Monthly Net Cash Flow</t>
  </si>
  <si>
    <t>SUBSCRIBER METRICS</t>
  </si>
  <si>
    <t>Active Subscribers (Month 12)</t>
  </si>
  <si>
    <t>Monthly Subscription Revenue (Month 12)</t>
  </si>
  <si>
    <t>Annualized Revenue Run Rate (Month 12)</t>
  </si>
  <si>
    <t>ARPU (Monthly)</t>
  </si>
  <si>
    <t>Churn Rate</t>
  </si>
  <si>
    <t>UNIT ECONOMICS</t>
  </si>
  <si>
    <t>COGS per Subscriber/Month</t>
  </si>
  <si>
    <t>Gross Profit per Subscriber/Month</t>
  </si>
  <si>
    <t>Subscriber Gross Margin</t>
  </si>
  <si>
    <t>DEBT SERVICE COVERAGE</t>
  </si>
  <si>
    <t>Required Minimum DSCR</t>
  </si>
  <si>
    <t>1.15x — 1.25x</t>
  </si>
  <si>
    <t>SBA LOAN AMORTIZATION — 24 MONTHS (All Formulas)</t>
  </si>
  <si>
    <t>Month</t>
  </si>
  <si>
    <t>Payment</t>
  </si>
  <si>
    <t>Principal</t>
  </si>
  <si>
    <t>Interest</t>
  </si>
  <si>
    <t>Balance</t>
  </si>
  <si>
    <t>Year 1</t>
  </si>
  <si>
    <t>Year 2</t>
  </si>
  <si>
    <t>USE OF FUNDS — SBA EXPRESS LOAN</t>
  </si>
  <si>
    <t>Edit the amounts below. % of Total updates automatically.</t>
  </si>
  <si>
    <t>Category</t>
  </si>
  <si>
    <t>% of Total</t>
  </si>
  <si>
    <t>Technology &amp; Platform Infrastructure</t>
  </si>
  <si>
    <t>Digital Advertising &amp; Customer Acquisition</t>
  </si>
  <si>
    <t>Professional Services (Legal, Accounting, Consulting)</t>
  </si>
  <si>
    <t>Working Capital &amp; Operating Reserve</t>
  </si>
  <si>
    <t>Rent &amp; Facilities</t>
  </si>
  <si>
    <t>Loan Amount (from Inputs)</t>
  </si>
  <si>
    <t>Difference (should be $0)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</si>
</sst>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0.0%"/>
    <numFmt numFmtId="166" formatCode="$#,##0;[Red]($#,##0)"/>
    <numFmt numFmtId="167" formatCode="0.0x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8B6914"/>
      <sz val="10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2CC"/>
      </patternFill>
    </fill>
    <fill>
      <patternFill patternType="solid">
        <fgColor rgb="FF2C3E6B"/>
      </patternFill>
    </fill>
    <fill>
      <patternFill patternType="solid">
        <fgColor rgb="FFDAE3F3"/>
      </patternFill>
    </fill>
    <fill>
      <patternFill patternType="solid">
        <fgColor rgb="FFECF0F8"/>
      </patternFill>
    </fill>
  </fills>
  <borders count="3">
    <border>
      <left/>
      <right/>
      <top/>
      <bottom/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  <border>
      <left/>
      <right/>
      <top style="thin">
        <color rgb="FF1B2A4A"/>
      </top>
      <bottom style="double">
        <color rgb="FF1B2A4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/>
    <xf numFmtId="164" fontId="0" fillId="3" borderId="1" xfId="0" applyNumberFormat="1" applyFill="1" applyBorder="1"/>
    <xf numFmtId="9" fontId="0" fillId="3" borderId="1" xfId="0" applyNumberFormat="1" applyFill="1" applyBorder="1"/>
    <xf numFmtId="1" fontId="0" fillId="3" borderId="1" xfId="0" applyNumberFormat="1" applyFill="1" applyBorder="1"/>
    <xf numFmtId="10" fontId="0" fillId="3" borderId="1" xfId="0" applyNumberFormat="1" applyFill="1" applyBorder="1"/>
    <xf numFmtId="0" fontId="5" fillId="0" borderId="0" xfId="0" applyFont="1"/>
    <xf numFmtId="164" fontId="5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3" fontId="0" fillId="3" borderId="1" xfId="0" applyNumberFormat="1" applyFill="1" applyBorder="1"/>
    <xf numFmtId="3" fontId="0" fillId="0" borderId="0" xfId="0" applyNumberFormat="1"/>
    <xf numFmtId="164" fontId="0" fillId="0" borderId="0" xfId="0" applyNumberFormat="1"/>
    <xf numFmtId="0" fontId="5" fillId="5" borderId="2" xfId="0" applyFont="1" applyFill="1" applyBorder="1"/>
    <xf numFmtId="164" fontId="5" fillId="5" borderId="2" xfId="0" applyNumberFormat="1" applyFont="1" applyFill="1" applyBorder="1"/>
    <xf numFmtId="9" fontId="0" fillId="0" borderId="0" xfId="0" applyNumberFormat="1"/>
    <xf numFmtId="3" fontId="5" fillId="5" borderId="2" xfId="0" applyNumberFormat="1" applyFont="1" applyFill="1" applyBorder="1"/>
    <xf numFmtId="165" fontId="0" fillId="0" borderId="0" xfId="0" applyNumberFormat="1"/>
    <xf numFmtId="166" fontId="5" fillId="5" borderId="2" xfId="0" applyNumberFormat="1" applyFont="1" applyFill="1" applyBorder="1"/>
    <xf numFmtId="166" fontId="0" fillId="0" borderId="0" xfId="0" applyNumberFormat="1"/>
    <xf numFmtId="0" fontId="6" fillId="0" borderId="0" xfId="0" applyFont="1"/>
    <xf numFmtId="167" fontId="0" fillId="0" borderId="0" xfId="0" applyNumberFormat="1"/>
    <xf numFmtId="0" fontId="0" fillId="6" borderId="0" xfId="0" applyFill="1"/>
    <xf numFmtId="164" fontId="0" fillId="6" borderId="0" xfId="0" applyNumberFormat="1" applyFill="1"/>
    <xf numFmtId="165" fontId="5" fillId="5" borderId="2" xfId="0" applyNumberFormat="1" applyFont="1" applyFill="1" applyBorder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966"/>
  </sheetPr>
  <dimension ref="A1:N39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cols>
    <col min="1" max="1" width="38" customWidth="1"/>
    <col min="2" max="2" width="18" customWidth="1"/>
    <col min="3" max="14" width="12" customWidth="1"/>
  </cols>
  <sheetData>
    <row r="1" ht="3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0" customHeight="1" spans="1:2" x14ac:dyDescent="0.25">
      <c r="A4" s="3" t="s">
        <v>2</v>
      </c>
      <c r="B4" s="3"/>
    </row>
    <row r="5" spans="1:2" x14ac:dyDescent="0.25">
      <c r="A5" s="4" t="s">
        <v>3</v>
      </c>
      <c r="B5" s="5">
        <v>250</v>
      </c>
    </row>
    <row r="6" spans="1:2" x14ac:dyDescent="0.25">
      <c r="A6" s="4" t="s">
        <v>4</v>
      </c>
      <c r="B6" s="5">
        <v>199</v>
      </c>
    </row>
    <row r="7" spans="1:2" x14ac:dyDescent="0.25">
      <c r="A7" s="4" t="s">
        <v>5</v>
      </c>
      <c r="B7" s="5">
        <v>150</v>
      </c>
    </row>
    <row r="8" spans="1:2" x14ac:dyDescent="0.25">
      <c r="A8" s="4" t="s">
        <v>6</v>
      </c>
      <c r="B8" s="6">
        <v>0.8</v>
      </c>
    </row>
    <row r="9" spans="1:2" x14ac:dyDescent="0.25">
      <c r="A9" s="4" t="s">
        <v>7</v>
      </c>
      <c r="B9" s="6">
        <v>0.1</v>
      </c>
    </row>
    <row r="11" ht="20" customHeight="1" spans="1:2" x14ac:dyDescent="0.25">
      <c r="A11" s="3" t="s">
        <v>8</v>
      </c>
      <c r="B11" s="3"/>
    </row>
    <row r="12" spans="1:2" x14ac:dyDescent="0.25">
      <c r="A12" s="4" t="s">
        <v>9</v>
      </c>
      <c r="B12" s="5">
        <v>35</v>
      </c>
    </row>
    <row r="13" spans="1:2" x14ac:dyDescent="0.25">
      <c r="A13" s="4" t="s">
        <v>10</v>
      </c>
      <c r="B13" s="5">
        <v>15</v>
      </c>
    </row>
    <row r="14" spans="1:2" x14ac:dyDescent="0.25">
      <c r="A14" s="4" t="s">
        <v>11</v>
      </c>
      <c r="B14" s="5">
        <v>5</v>
      </c>
    </row>
    <row r="15" spans="1:2" x14ac:dyDescent="0.25">
      <c r="A15" s="4" t="s">
        <v>12</v>
      </c>
      <c r="B15" s="5">
        <v>10</v>
      </c>
    </row>
    <row r="16" spans="1:2" x14ac:dyDescent="0.25">
      <c r="A16" s="4" t="s">
        <v>13</v>
      </c>
      <c r="B16" s="6">
        <v>0.03</v>
      </c>
    </row>
    <row r="18" ht="20" customHeight="1" spans="1:2" x14ac:dyDescent="0.25">
      <c r="A18" s="3" t="s">
        <v>14</v>
      </c>
      <c r="B18" s="3"/>
    </row>
    <row r="19" spans="1:2" x14ac:dyDescent="0.25">
      <c r="A19" s="4" t="s">
        <v>15</v>
      </c>
      <c r="B19" s="5">
        <v>200000</v>
      </c>
    </row>
    <row r="20" spans="1:2" x14ac:dyDescent="0.25">
      <c r="A20" s="4" t="s">
        <v>16</v>
      </c>
      <c r="B20" s="7">
        <v>120</v>
      </c>
    </row>
    <row r="21" spans="1:2" x14ac:dyDescent="0.25">
      <c r="A21" s="4" t="s">
        <v>17</v>
      </c>
      <c r="B21" s="8">
        <v>0.1125</v>
      </c>
    </row>
    <row r="22" spans="1:2" x14ac:dyDescent="0.25">
      <c r="A22" s="9" t="s">
        <v>18</v>
      </c>
      <c r="B22" s="10">
        <f>-PMT(B21/12,B20,B19)</f>
      </c>
    </row>
    <row r="24" ht="20" customHeight="1" spans="1:14" x14ac:dyDescent="0.25">
      <c r="A24" s="3" t="s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22" customHeight="1" spans="1:14" x14ac:dyDescent="0.25">
      <c r="A25" s="11" t="s">
        <v>20</v>
      </c>
      <c r="B25" s="11" t="s">
        <v>21</v>
      </c>
      <c r="C25" s="11" t="s">
        <v>22</v>
      </c>
      <c r="D25" s="11" t="s">
        <v>23</v>
      </c>
      <c r="E25" s="11" t="s">
        <v>24</v>
      </c>
      <c r="F25" s="11" t="s">
        <v>25</v>
      </c>
      <c r="G25" s="11" t="s">
        <v>26</v>
      </c>
      <c r="H25" s="11" t="s">
        <v>27</v>
      </c>
      <c r="I25" s="11" t="s">
        <v>28</v>
      </c>
      <c r="J25" s="11" t="s">
        <v>29</v>
      </c>
      <c r="K25" s="11" t="s">
        <v>30</v>
      </c>
      <c r="L25" s="11" t="s">
        <v>31</v>
      </c>
      <c r="M25" s="11" t="s">
        <v>32</v>
      </c>
      <c r="N25" s="11" t="s">
        <v>33</v>
      </c>
    </row>
    <row r="26" spans="1:14" x14ac:dyDescent="0.25">
      <c r="A26" s="4" t="s">
        <v>34</v>
      </c>
      <c r="B26" s="12">
        <v>0</v>
      </c>
      <c r="C26" s="12">
        <v>4</v>
      </c>
      <c r="D26" s="12">
        <v>6</v>
      </c>
      <c r="E26" s="12">
        <v>10</v>
      </c>
      <c r="F26" s="12">
        <v>12</v>
      </c>
      <c r="G26" s="12">
        <v>14</v>
      </c>
      <c r="H26" s="12">
        <v>20</v>
      </c>
      <c r="I26" s="12">
        <v>22</v>
      </c>
      <c r="J26" s="12">
        <v>25</v>
      </c>
      <c r="K26" s="12">
        <v>28</v>
      </c>
      <c r="L26" s="12">
        <v>30</v>
      </c>
      <c r="M26" s="12">
        <v>35</v>
      </c>
      <c r="N26" s="13">
        <f>SUM(B26:M26)</f>
      </c>
    </row>
    <row r="27" spans="1:14" x14ac:dyDescent="0.25">
      <c r="A27" s="4" t="s">
        <v>35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3</v>
      </c>
      <c r="H27" s="12">
        <v>4</v>
      </c>
      <c r="I27" s="12">
        <v>5</v>
      </c>
      <c r="J27" s="12">
        <v>6</v>
      </c>
      <c r="K27" s="12">
        <v>7</v>
      </c>
      <c r="L27" s="12">
        <v>8</v>
      </c>
      <c r="M27" s="12">
        <v>9</v>
      </c>
      <c r="N27" s="13">
        <f>SUM(B27:M27)</f>
      </c>
    </row>
    <row r="29" ht="20" customHeight="1" spans="1:14" x14ac:dyDescent="0.25">
      <c r="A29" s="3" t="s">
        <v>36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22" customHeight="1" spans="1:14" x14ac:dyDescent="0.25">
      <c r="A30" s="11" t="s">
        <v>20</v>
      </c>
      <c r="B30" s="11" t="s">
        <v>21</v>
      </c>
      <c r="C30" s="11" t="s">
        <v>22</v>
      </c>
      <c r="D30" s="11" t="s">
        <v>23</v>
      </c>
      <c r="E30" s="11" t="s">
        <v>24</v>
      </c>
      <c r="F30" s="11" t="s">
        <v>25</v>
      </c>
      <c r="G30" s="11" t="s">
        <v>26</v>
      </c>
      <c r="H30" s="11" t="s">
        <v>27</v>
      </c>
      <c r="I30" s="11" t="s">
        <v>28</v>
      </c>
      <c r="J30" s="11" t="s">
        <v>29</v>
      </c>
      <c r="K30" s="11" t="s">
        <v>30</v>
      </c>
      <c r="L30" s="11" t="s">
        <v>31</v>
      </c>
      <c r="M30" s="11" t="s">
        <v>32</v>
      </c>
      <c r="N30" s="11" t="s">
        <v>33</v>
      </c>
    </row>
    <row r="31" spans="1:14" x14ac:dyDescent="0.25">
      <c r="A31" s="4" t="s">
        <v>37</v>
      </c>
      <c r="B31" s="5">
        <v>2000</v>
      </c>
      <c r="C31" s="5">
        <v>1000</v>
      </c>
      <c r="D31" s="5">
        <v>1000</v>
      </c>
      <c r="E31" s="5">
        <v>750</v>
      </c>
      <c r="F31" s="5">
        <v>750</v>
      </c>
      <c r="G31" s="5">
        <v>750</v>
      </c>
      <c r="H31" s="5">
        <v>750</v>
      </c>
      <c r="I31" s="5">
        <v>750</v>
      </c>
      <c r="J31" s="5">
        <v>750</v>
      </c>
      <c r="K31" s="5">
        <v>750</v>
      </c>
      <c r="L31" s="5">
        <v>750</v>
      </c>
      <c r="M31" s="5">
        <v>750</v>
      </c>
      <c r="N31" s="14">
        <f>SUM(B31:M31)</f>
      </c>
    </row>
    <row r="32" spans="1:14" x14ac:dyDescent="0.25">
      <c r="A32" s="4" t="s">
        <v>38</v>
      </c>
      <c r="B32" s="5">
        <v>5000</v>
      </c>
      <c r="C32" s="5">
        <v>2000</v>
      </c>
      <c r="D32" s="5">
        <v>1000</v>
      </c>
      <c r="E32" s="5">
        <v>500</v>
      </c>
      <c r="F32" s="5">
        <v>500</v>
      </c>
      <c r="G32" s="5">
        <v>500</v>
      </c>
      <c r="H32" s="5">
        <v>500</v>
      </c>
      <c r="I32" s="5">
        <v>500</v>
      </c>
      <c r="J32" s="5">
        <v>500</v>
      </c>
      <c r="K32" s="5">
        <v>500</v>
      </c>
      <c r="L32" s="5">
        <v>500</v>
      </c>
      <c r="M32" s="5">
        <v>500</v>
      </c>
      <c r="N32" s="14">
        <f>SUM(B32:M32)</f>
      </c>
    </row>
    <row r="33" spans="1:14" x14ac:dyDescent="0.25">
      <c r="A33" s="4" t="s">
        <v>39</v>
      </c>
      <c r="B33" s="5">
        <v>10000</v>
      </c>
      <c r="C33" s="5">
        <v>5000</v>
      </c>
      <c r="D33" s="5">
        <v>3000</v>
      </c>
      <c r="E33" s="5">
        <v>2000</v>
      </c>
      <c r="F33" s="5">
        <v>1000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14">
        <f>SUM(B33:M33)</f>
      </c>
    </row>
    <row r="34" spans="1:14" x14ac:dyDescent="0.25">
      <c r="A34" s="4" t="s">
        <v>40</v>
      </c>
      <c r="B34" s="5">
        <v>15000</v>
      </c>
      <c r="C34" s="5">
        <v>5000</v>
      </c>
      <c r="D34" s="5">
        <v>3000</v>
      </c>
      <c r="E34" s="5">
        <v>3000</v>
      </c>
      <c r="F34" s="5">
        <v>3000</v>
      </c>
      <c r="G34" s="5">
        <v>3000</v>
      </c>
      <c r="H34" s="5">
        <v>3000</v>
      </c>
      <c r="I34" s="5">
        <v>3000</v>
      </c>
      <c r="J34" s="5">
        <v>3000</v>
      </c>
      <c r="K34" s="5">
        <v>3000</v>
      </c>
      <c r="L34" s="5">
        <v>3000</v>
      </c>
      <c r="M34" s="5">
        <v>3000</v>
      </c>
      <c r="N34" s="14">
        <f>SUM(B34:M34)</f>
      </c>
    </row>
    <row r="35" spans="1:14" x14ac:dyDescent="0.25">
      <c r="A35" s="4" t="s">
        <v>41</v>
      </c>
      <c r="B35" s="5">
        <v>0</v>
      </c>
      <c r="C35" s="5">
        <v>8000</v>
      </c>
      <c r="D35" s="5">
        <v>10000</v>
      </c>
      <c r="E35" s="5">
        <v>12000</v>
      </c>
      <c r="F35" s="5">
        <v>12000</v>
      </c>
      <c r="G35" s="5">
        <v>12000</v>
      </c>
      <c r="H35" s="5">
        <v>15000</v>
      </c>
      <c r="I35" s="5">
        <v>15000</v>
      </c>
      <c r="J35" s="5">
        <v>15000</v>
      </c>
      <c r="K35" s="5">
        <v>15000</v>
      </c>
      <c r="L35" s="5">
        <v>15000</v>
      </c>
      <c r="M35" s="5">
        <v>15000</v>
      </c>
      <c r="N35" s="14">
        <f>SUM(B35:M35)</f>
      </c>
    </row>
    <row r="36" spans="1:14" x14ac:dyDescent="0.25">
      <c r="A36" s="4" t="s">
        <v>42</v>
      </c>
      <c r="B36" s="5">
        <v>25000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14">
        <f>SUM(B36:M36)</f>
      </c>
    </row>
    <row r="37" spans="1:14" x14ac:dyDescent="0.25">
      <c r="A37" s="4" t="s">
        <v>43</v>
      </c>
      <c r="B37" s="5">
        <v>1000</v>
      </c>
      <c r="C37" s="5">
        <v>1000</v>
      </c>
      <c r="D37" s="5">
        <v>1000</v>
      </c>
      <c r="E37" s="5">
        <v>1000</v>
      </c>
      <c r="F37" s="5">
        <v>1000</v>
      </c>
      <c r="G37" s="5">
        <v>1000</v>
      </c>
      <c r="H37" s="5">
        <v>1000</v>
      </c>
      <c r="I37" s="5">
        <v>1000</v>
      </c>
      <c r="J37" s="5">
        <v>1000</v>
      </c>
      <c r="K37" s="5">
        <v>1000</v>
      </c>
      <c r="L37" s="5">
        <v>1000</v>
      </c>
      <c r="M37" s="5">
        <v>1000</v>
      </c>
      <c r="N37" s="14">
        <f>SUM(B37:M37)</f>
      </c>
    </row>
    <row r="38" spans="1:14" x14ac:dyDescent="0.25">
      <c r="A38" s="4" t="s">
        <v>44</v>
      </c>
      <c r="B38" s="5">
        <v>3000</v>
      </c>
      <c r="C38" s="5">
        <v>1000</v>
      </c>
      <c r="D38" s="5">
        <v>1000</v>
      </c>
      <c r="E38" s="5">
        <v>1000</v>
      </c>
      <c r="F38" s="5">
        <v>1000</v>
      </c>
      <c r="G38" s="5">
        <v>1000</v>
      </c>
      <c r="H38" s="5">
        <v>1000</v>
      </c>
      <c r="I38" s="5">
        <v>1000</v>
      </c>
      <c r="J38" s="5">
        <v>1000</v>
      </c>
      <c r="K38" s="5">
        <v>1000</v>
      </c>
      <c r="L38" s="5">
        <v>1000</v>
      </c>
      <c r="M38" s="5">
        <v>1000</v>
      </c>
      <c r="N38" s="14">
        <f>SUM(B38:M38)</f>
      </c>
    </row>
    <row r="39" spans="1:14" x14ac:dyDescent="0.25">
      <c r="A39" s="15" t="s">
        <v>45</v>
      </c>
      <c r="B39" s="16">
        <f>SUM(B31:B38)</f>
      </c>
      <c r="C39" s="16">
        <f>SUM(C31:C38)</f>
      </c>
      <c r="D39" s="16">
        <f>SUM(D31:D38)</f>
      </c>
      <c r="E39" s="16">
        <f>SUM(E31:E38)</f>
      </c>
      <c r="F39" s="16">
        <f>SUM(F31:F38)</f>
      </c>
      <c r="G39" s="16">
        <f>SUM(G31:G38)</f>
      </c>
      <c r="H39" s="16">
        <f>SUM(H31:H38)</f>
      </c>
      <c r="I39" s="16">
        <f>SUM(I31:I38)</f>
      </c>
      <c r="J39" s="16">
        <f>SUM(J31:J38)</f>
      </c>
      <c r="K39" s="16">
        <f>SUM(K31:K38)</f>
      </c>
      <c r="L39" s="16">
        <f>SUM(L31:L38)</f>
      </c>
      <c r="M39" s="16">
        <f>SUM(M31:M38)</f>
      </c>
      <c r="N39" s="16">
        <f>SUM(B39:M39)</f>
      </c>
    </row>
  </sheetData>
  <mergeCells count="7">
    <mergeCell ref="A1:N1"/>
    <mergeCell ref="A2:N2"/>
    <mergeCell ref="A4:B4"/>
    <mergeCell ref="A11:B11"/>
    <mergeCell ref="A18:B18"/>
    <mergeCell ref="A24:N24"/>
    <mergeCell ref="A29:N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M1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1" customWidth="1"/>
  </cols>
  <sheetData>
    <row r="1" ht="32" customHeight="1" spans="1:13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22" customHeight="1" spans="1:13" x14ac:dyDescent="0.25">
      <c r="A3" s="11" t="s">
        <v>20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  <c r="K3" s="11" t="s">
        <v>30</v>
      </c>
      <c r="L3" s="11" t="s">
        <v>31</v>
      </c>
      <c r="M3" s="11" t="s">
        <v>32</v>
      </c>
    </row>
    <row r="4" ht="20" customHeight="1" spans="1:13" x14ac:dyDescent="0.25">
      <c r="A4" s="3" t="s">
        <v>47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48</v>
      </c>
      <c r="B5" s="13">
        <f>Inputs!B26</f>
      </c>
      <c r="C5" s="13">
        <f>Inputs!C26</f>
      </c>
      <c r="D5" s="13">
        <f>Inputs!D26</f>
      </c>
      <c r="E5" s="13">
        <f>Inputs!E26</f>
      </c>
      <c r="F5" s="13">
        <f>Inputs!F26</f>
      </c>
      <c r="G5" s="13">
        <f>Inputs!G26</f>
      </c>
      <c r="H5" s="13">
        <f>Inputs!H26</f>
      </c>
      <c r="I5" s="13">
        <f>Inputs!I26</f>
      </c>
      <c r="J5" s="13">
        <f>Inputs!J26</f>
      </c>
      <c r="K5" s="13">
        <f>Inputs!K26</f>
      </c>
      <c r="L5" s="13">
        <f>Inputs!L26</f>
      </c>
      <c r="M5" s="13">
        <f>Inputs!M26</f>
      </c>
    </row>
    <row r="6" spans="1:13" x14ac:dyDescent="0.25">
      <c r="A6" s="4" t="s">
        <v>49</v>
      </c>
      <c r="B6" s="17">
        <f>Inputs!$B$8</f>
      </c>
      <c r="C6" s="17">
        <f>Inputs!$B$8</f>
      </c>
      <c r="D6" s="17">
        <f>Inputs!$B$8</f>
      </c>
      <c r="E6" s="17">
        <f>Inputs!$B$8</f>
      </c>
      <c r="F6" s="17">
        <f>Inputs!$B$8</f>
      </c>
      <c r="G6" s="17">
        <f>Inputs!$B$8</f>
      </c>
      <c r="H6" s="17">
        <f>Inputs!$B$8</f>
      </c>
      <c r="I6" s="17">
        <f>Inputs!$B$8</f>
      </c>
      <c r="J6" s="17">
        <f>Inputs!$B$8</f>
      </c>
      <c r="K6" s="17">
        <f>Inputs!$B$8</f>
      </c>
      <c r="L6" s="17">
        <f>Inputs!$B$8</f>
      </c>
      <c r="M6" s="17">
        <f>Inputs!$B$8</f>
      </c>
    </row>
    <row r="7" spans="1:13" x14ac:dyDescent="0.25">
      <c r="A7" s="9" t="s">
        <v>50</v>
      </c>
      <c r="B7" s="13">
        <f>ROUND(B5*B6,0)</f>
      </c>
      <c r="C7" s="13">
        <f>ROUND(C5*C6,0)</f>
      </c>
      <c r="D7" s="13">
        <f>ROUND(D5*D6,0)</f>
      </c>
      <c r="E7" s="13">
        <f>ROUND(E5*E6,0)</f>
      </c>
      <c r="F7" s="13">
        <f>ROUND(F5*F6,0)</f>
      </c>
      <c r="G7" s="13">
        <f>ROUND(G5*G6,0)</f>
      </c>
      <c r="H7" s="13">
        <f>ROUND(H5*H6,0)</f>
      </c>
      <c r="I7" s="13">
        <f>ROUND(I5*I6,0)</f>
      </c>
      <c r="J7" s="13">
        <f>ROUND(J5*J6,0)</f>
      </c>
      <c r="K7" s="13">
        <f>ROUND(K5*K6,0)</f>
      </c>
      <c r="L7" s="13">
        <f>ROUND(L5*L6,0)</f>
      </c>
      <c r="M7" s="13">
        <f>ROUND(M5*M6,0)</f>
      </c>
    </row>
    <row r="9" ht="20" customHeight="1" spans="1:13" x14ac:dyDescent="0.25">
      <c r="A9" s="3" t="s">
        <v>51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4" t="s">
        <v>52</v>
      </c>
      <c r="B10">
        <v>0</v>
      </c>
      <c r="C10" s="13">
        <f>B13</f>
      </c>
      <c r="D10" s="13">
        <f>C13</f>
      </c>
      <c r="E10" s="13">
        <f>D13</f>
      </c>
      <c r="F10" s="13">
        <f>E13</f>
      </c>
      <c r="G10" s="13">
        <f>F13</f>
      </c>
      <c r="H10" s="13">
        <f>G13</f>
      </c>
      <c r="I10" s="13">
        <f>H13</f>
      </c>
      <c r="J10" s="13">
        <f>I13</f>
      </c>
      <c r="K10" s="13">
        <f>J13</f>
      </c>
      <c r="L10" s="13">
        <f>K13</f>
      </c>
      <c r="M10" s="13">
        <f>L13</f>
      </c>
    </row>
    <row r="11" spans="1:13" x14ac:dyDescent="0.25">
      <c r="A11" s="4" t="s">
        <v>53</v>
      </c>
      <c r="B11" s="13">
        <f>B7</f>
      </c>
      <c r="C11" s="13">
        <f>C7</f>
      </c>
      <c r="D11" s="13">
        <f>D7</f>
      </c>
      <c r="E11" s="13">
        <f>E7</f>
      </c>
      <c r="F11" s="13">
        <f>F7</f>
      </c>
      <c r="G11" s="13">
        <f>G7</f>
      </c>
      <c r="H11" s="13">
        <f>H7</f>
      </c>
      <c r="I11" s="13">
        <f>I7</f>
      </c>
      <c r="J11" s="13">
        <f>J7</f>
      </c>
      <c r="K11" s="13">
        <f>K7</f>
      </c>
      <c r="L11" s="13">
        <f>L7</f>
      </c>
      <c r="M11" s="13">
        <f>M7</f>
      </c>
    </row>
    <row r="12" spans="1:13" x14ac:dyDescent="0.25">
      <c r="A12" s="4" t="s">
        <v>54</v>
      </c>
      <c r="B12" s="13">
        <f>ROUND(B10*Inputs!$B$9,0)</f>
      </c>
      <c r="C12" s="13">
        <f>ROUND(C10*Inputs!$B$9,0)</f>
      </c>
      <c r="D12" s="13">
        <f>ROUND(D10*Inputs!$B$9,0)</f>
      </c>
      <c r="E12" s="13">
        <f>ROUND(E10*Inputs!$B$9,0)</f>
      </c>
      <c r="F12" s="13">
        <f>ROUND(F10*Inputs!$B$9,0)</f>
      </c>
      <c r="G12" s="13">
        <f>ROUND(G10*Inputs!$B$9,0)</f>
      </c>
      <c r="H12" s="13">
        <f>ROUND(H10*Inputs!$B$9,0)</f>
      </c>
      <c r="I12" s="13">
        <f>ROUND(I10*Inputs!$B$9,0)</f>
      </c>
      <c r="J12" s="13">
        <f>ROUND(J10*Inputs!$B$9,0)</f>
      </c>
      <c r="K12" s="13">
        <f>ROUND(K10*Inputs!$B$9,0)</f>
      </c>
      <c r="L12" s="13">
        <f>ROUND(L10*Inputs!$B$9,0)</f>
      </c>
      <c r="M12" s="13">
        <f>ROUND(M10*Inputs!$B$9,0)</f>
      </c>
    </row>
    <row r="13" spans="1:13" x14ac:dyDescent="0.25">
      <c r="A13" s="15" t="s">
        <v>55</v>
      </c>
      <c r="B13" s="18">
        <f>B10+B11-B12</f>
      </c>
      <c r="C13" s="18">
        <f>C10+C11-C12</f>
      </c>
      <c r="D13" s="18">
        <f>D10+D11-D12</f>
      </c>
      <c r="E13" s="18">
        <f>E10+E11-E12</f>
      </c>
      <c r="F13" s="18">
        <f>F10+F11-F12</f>
      </c>
      <c r="G13" s="18">
        <f>G10+G11-G12</f>
      </c>
      <c r="H13" s="18">
        <f>H10+H11-H12</f>
      </c>
      <c r="I13" s="18">
        <f>I10+I11-I12</f>
      </c>
      <c r="J13" s="18">
        <f>J10+J11-J12</f>
      </c>
      <c r="K13" s="18">
        <f>K10+K11-K12</f>
      </c>
      <c r="L13" s="18">
        <f>L10+L11-L12</f>
      </c>
      <c r="M13" s="18">
        <f>M10+M11-M12</f>
      </c>
    </row>
    <row r="15" ht="20" customHeight="1" spans="1:13" x14ac:dyDescent="0.25">
      <c r="A15" s="3" t="s">
        <v>56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57</v>
      </c>
      <c r="B16" s="13">
        <f>B5</f>
      </c>
      <c r="C16" s="13">
        <f>B16+C5</f>
      </c>
      <c r="D16" s="13">
        <f>C16+D5</f>
      </c>
      <c r="E16" s="13">
        <f>D16+E5</f>
      </c>
      <c r="F16" s="13">
        <f>E16+F5</f>
      </c>
      <c r="G16" s="13">
        <f>F16+G5</f>
      </c>
      <c r="H16" s="13">
        <f>G16+H5</f>
      </c>
      <c r="I16" s="13">
        <f>H16+I5</f>
      </c>
      <c r="J16" s="13">
        <f>I16+J5</f>
      </c>
      <c r="K16" s="13">
        <f>J16+K5</f>
      </c>
      <c r="L16" s="13">
        <f>K16+L5</f>
      </c>
      <c r="M16" s="13">
        <f>L16+M5</f>
      </c>
    </row>
    <row r="17" spans="1:13" x14ac:dyDescent="0.25">
      <c r="A17" s="4" t="s">
        <v>58</v>
      </c>
      <c r="B17" s="19">
        <f>IF(B10=0,0,B12/B10)</f>
      </c>
      <c r="C17" s="19">
        <f>IF(C10=0,0,C12/C10)</f>
      </c>
      <c r="D17" s="19">
        <f>IF(D10=0,0,D12/D10)</f>
      </c>
      <c r="E17" s="19">
        <f>IF(E10=0,0,E12/E10)</f>
      </c>
      <c r="F17" s="19">
        <f>IF(F10=0,0,F12/F10)</f>
      </c>
      <c r="G17" s="19">
        <f>IF(G10=0,0,G12/G10)</f>
      </c>
      <c r="H17" s="19">
        <f>IF(H10=0,0,H12/H10)</f>
      </c>
      <c r="I17" s="19">
        <f>IF(I10=0,0,I12/I10)</f>
      </c>
      <c r="J17" s="19">
        <f>IF(J10=0,0,J12/J10)</f>
      </c>
      <c r="K17" s="19">
        <f>IF(K10=0,0,K12/K10)</f>
      </c>
      <c r="L17" s="19">
        <f>IF(L10=0,0,L12/L10)</f>
      </c>
      <c r="M17" s="19">
        <f>IF(M10=0,0,M12/M10)</f>
      </c>
    </row>
  </sheetData>
  <mergeCells count="4">
    <mergeCell ref="A1:M1"/>
    <mergeCell ref="A4:M4"/>
    <mergeCell ref="A9:M9"/>
    <mergeCell ref="A15:M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N4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14" width="12" customWidth="1"/>
  </cols>
  <sheetData>
    <row r="1" ht="32" customHeight="1" spans="1:14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ht="22" customHeight="1" spans="1:14" x14ac:dyDescent="0.25">
      <c r="A3" s="11" t="s">
        <v>20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  <c r="K3" s="11" t="s">
        <v>30</v>
      </c>
      <c r="L3" s="11" t="s">
        <v>31</v>
      </c>
      <c r="M3" s="11" t="s">
        <v>32</v>
      </c>
      <c r="N3" s="11" t="s">
        <v>33</v>
      </c>
    </row>
    <row r="4" ht="20" customHeight="1" spans="1:14" x14ac:dyDescent="0.25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4" t="s">
        <v>61</v>
      </c>
      <c r="B5" s="14">
        <f>Subscribers!B5*Inputs!$B$5</f>
      </c>
      <c r="C5" s="14">
        <f>Subscribers!C5*Inputs!$B$5</f>
      </c>
      <c r="D5" s="14">
        <f>Subscribers!D5*Inputs!$B$5</f>
      </c>
      <c r="E5" s="14">
        <f>Subscribers!E5*Inputs!$B$5</f>
      </c>
      <c r="F5" s="14">
        <f>Subscribers!F5*Inputs!$B$5</f>
      </c>
      <c r="G5" s="14">
        <f>Subscribers!G5*Inputs!$B$5</f>
      </c>
      <c r="H5" s="14">
        <f>Subscribers!H5*Inputs!$B$5</f>
      </c>
      <c r="I5" s="14">
        <f>Subscribers!I5*Inputs!$B$5</f>
      </c>
      <c r="J5" s="14">
        <f>Subscribers!J5*Inputs!$B$5</f>
      </c>
      <c r="K5" s="14">
        <f>Subscribers!K5*Inputs!$B$5</f>
      </c>
      <c r="L5" s="14">
        <f>Subscribers!L5*Inputs!$B$5</f>
      </c>
      <c r="M5" s="14">
        <f>Subscribers!M5*Inputs!$B$5</f>
      </c>
      <c r="N5" s="14">
        <f>SUM(B5:M5)</f>
      </c>
    </row>
    <row r="6" spans="1:14" x14ac:dyDescent="0.25">
      <c r="A6" s="4" t="s">
        <v>62</v>
      </c>
      <c r="B6" s="14">
        <f>Subscribers!B13*Inputs!$B$6</f>
      </c>
      <c r="C6" s="14">
        <f>Subscribers!C13*Inputs!$B$6</f>
      </c>
      <c r="D6" s="14">
        <f>Subscribers!D13*Inputs!$B$6</f>
      </c>
      <c r="E6" s="14">
        <f>Subscribers!E13*Inputs!$B$6</f>
      </c>
      <c r="F6" s="14">
        <f>Subscribers!F13*Inputs!$B$6</f>
      </c>
      <c r="G6" s="14">
        <f>Subscribers!G13*Inputs!$B$6</f>
      </c>
      <c r="H6" s="14">
        <f>Subscribers!H13*Inputs!$B$6</f>
      </c>
      <c r="I6" s="14">
        <f>Subscribers!I13*Inputs!$B$6</f>
      </c>
      <c r="J6" s="14">
        <f>Subscribers!J13*Inputs!$B$6</f>
      </c>
      <c r="K6" s="14">
        <f>Subscribers!K13*Inputs!$B$6</f>
      </c>
      <c r="L6" s="14">
        <f>Subscribers!L13*Inputs!$B$6</f>
      </c>
      <c r="M6" s="14">
        <f>Subscribers!M13*Inputs!$B$6</f>
      </c>
      <c r="N6" s="14">
        <f>SUM(B6:M6)</f>
      </c>
    </row>
    <row r="7" spans="1:14" x14ac:dyDescent="0.25">
      <c r="A7" s="4" t="s">
        <v>63</v>
      </c>
      <c r="B7" s="14">
        <f>Inputs!B27*Inputs!$B$7</f>
      </c>
      <c r="C7" s="14">
        <f>Inputs!C27*Inputs!$B$7</f>
      </c>
      <c r="D7" s="14">
        <f>Inputs!D27*Inputs!$B$7</f>
      </c>
      <c r="E7" s="14">
        <f>Inputs!E27*Inputs!$B$7</f>
      </c>
      <c r="F7" s="14">
        <f>Inputs!F27*Inputs!$B$7</f>
      </c>
      <c r="G7" s="14">
        <f>Inputs!G27*Inputs!$B$7</f>
      </c>
      <c r="H7" s="14">
        <f>Inputs!H27*Inputs!$B$7</f>
      </c>
      <c r="I7" s="14">
        <f>Inputs!I27*Inputs!$B$7</f>
      </c>
      <c r="J7" s="14">
        <f>Inputs!J27*Inputs!$B$7</f>
      </c>
      <c r="K7" s="14">
        <f>Inputs!K27*Inputs!$B$7</f>
      </c>
      <c r="L7" s="14">
        <f>Inputs!L27*Inputs!$B$7</f>
      </c>
      <c r="M7" s="14">
        <f>Inputs!M27*Inputs!$B$7</f>
      </c>
      <c r="N7" s="14">
        <f>SUM(B7:M7)</f>
      </c>
    </row>
    <row r="8" spans="1:14" x14ac:dyDescent="0.25">
      <c r="A8" s="15" t="s">
        <v>64</v>
      </c>
      <c r="B8" s="16">
        <f>SUM(B5:B7)</f>
      </c>
      <c r="C8" s="16">
        <f>SUM(C5:C7)</f>
      </c>
      <c r="D8" s="16">
        <f>SUM(D5:D7)</f>
      </c>
      <c r="E8" s="16">
        <f>SUM(E5:E7)</f>
      </c>
      <c r="F8" s="16">
        <f>SUM(F5:F7)</f>
      </c>
      <c r="G8" s="16">
        <f>SUM(G5:G7)</f>
      </c>
      <c r="H8" s="16">
        <f>SUM(H5:H7)</f>
      </c>
      <c r="I8" s="16">
        <f>SUM(I5:I7)</f>
      </c>
      <c r="J8" s="16">
        <f>SUM(J5:J7)</f>
      </c>
      <c r="K8" s="16">
        <f>SUM(K5:K7)</f>
      </c>
      <c r="L8" s="16">
        <f>SUM(L5:L7)</f>
      </c>
      <c r="M8" s="16">
        <f>SUM(M5:M7)</f>
      </c>
      <c r="N8" s="16">
        <f>SUM(B8:M8)</f>
      </c>
    </row>
    <row r="10" ht="20" customHeight="1" spans="1:14" x14ac:dyDescent="0.25">
      <c r="A10" s="3" t="s">
        <v>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4" t="s">
        <v>66</v>
      </c>
      <c r="B11" s="14">
        <f>Subscribers!B13*Inputs!$B$12</f>
      </c>
      <c r="C11" s="14">
        <f>Subscribers!C13*Inputs!$B$12</f>
      </c>
      <c r="D11" s="14">
        <f>Subscribers!D13*Inputs!$B$12</f>
      </c>
      <c r="E11" s="14">
        <f>Subscribers!E13*Inputs!$B$12</f>
      </c>
      <c r="F11" s="14">
        <f>Subscribers!F13*Inputs!$B$12</f>
      </c>
      <c r="G11" s="14">
        <f>Subscribers!G13*Inputs!$B$12</f>
      </c>
      <c r="H11" s="14">
        <f>Subscribers!H13*Inputs!$B$12</f>
      </c>
      <c r="I11" s="14">
        <f>Subscribers!I13*Inputs!$B$12</f>
      </c>
      <c r="J11" s="14">
        <f>Subscribers!J13*Inputs!$B$12</f>
      </c>
      <c r="K11" s="14">
        <f>Subscribers!K13*Inputs!$B$12</f>
      </c>
      <c r="L11" s="14">
        <f>Subscribers!L13*Inputs!$B$12</f>
      </c>
      <c r="M11" s="14">
        <f>Subscribers!M13*Inputs!$B$12</f>
      </c>
      <c r="N11" s="14">
        <f>SUM(B11:M11)</f>
      </c>
    </row>
    <row r="12" spans="1:14" x14ac:dyDescent="0.25">
      <c r="A12" s="4" t="s">
        <v>67</v>
      </c>
      <c r="B12" s="14">
        <f>Subscribers!B13*Inputs!$B$13</f>
      </c>
      <c r="C12" s="14">
        <f>Subscribers!C13*Inputs!$B$13</f>
      </c>
      <c r="D12" s="14">
        <f>Subscribers!D13*Inputs!$B$13</f>
      </c>
      <c r="E12" s="14">
        <f>Subscribers!E13*Inputs!$B$13</f>
      </c>
      <c r="F12" s="14">
        <f>Subscribers!F13*Inputs!$B$13</f>
      </c>
      <c r="G12" s="14">
        <f>Subscribers!G13*Inputs!$B$13</f>
      </c>
      <c r="H12" s="14">
        <f>Subscribers!H13*Inputs!$B$13</f>
      </c>
      <c r="I12" s="14">
        <f>Subscribers!I13*Inputs!$B$13</f>
      </c>
      <c r="J12" s="14">
        <f>Subscribers!J13*Inputs!$B$13</f>
      </c>
      <c r="K12" s="14">
        <f>Subscribers!K13*Inputs!$B$13</f>
      </c>
      <c r="L12" s="14">
        <f>Subscribers!L13*Inputs!$B$13</f>
      </c>
      <c r="M12" s="14">
        <f>Subscribers!M13*Inputs!$B$13</f>
      </c>
      <c r="N12" s="14">
        <f>SUM(B12:M12)</f>
      </c>
    </row>
    <row r="13" spans="1:14" x14ac:dyDescent="0.25">
      <c r="A13" s="4" t="s">
        <v>68</v>
      </c>
      <c r="B13" s="14">
        <f>Subscribers!B13*Inputs!$B$14</f>
      </c>
      <c r="C13" s="14">
        <f>Subscribers!C13*Inputs!$B$14</f>
      </c>
      <c r="D13" s="14">
        <f>Subscribers!D13*Inputs!$B$14</f>
      </c>
      <c r="E13" s="14">
        <f>Subscribers!E13*Inputs!$B$14</f>
      </c>
      <c r="F13" s="14">
        <f>Subscribers!F13*Inputs!$B$14</f>
      </c>
      <c r="G13" s="14">
        <f>Subscribers!G13*Inputs!$B$14</f>
      </c>
      <c r="H13" s="14">
        <f>Subscribers!H13*Inputs!$B$14</f>
      </c>
      <c r="I13" s="14">
        <f>Subscribers!I13*Inputs!$B$14</f>
      </c>
      <c r="J13" s="14">
        <f>Subscribers!J13*Inputs!$B$14</f>
      </c>
      <c r="K13" s="14">
        <f>Subscribers!K13*Inputs!$B$14</f>
      </c>
      <c r="L13" s="14">
        <f>Subscribers!L13*Inputs!$B$14</f>
      </c>
      <c r="M13" s="14">
        <f>Subscribers!M13*Inputs!$B$14</f>
      </c>
      <c r="N13" s="14">
        <f>SUM(B13:M13)</f>
      </c>
    </row>
    <row r="14" spans="1:14" x14ac:dyDescent="0.25">
      <c r="A14" s="4" t="s">
        <v>69</v>
      </c>
      <c r="B14" s="14">
        <f>Subscribers!B13*Inputs!$B$15</f>
      </c>
      <c r="C14" s="14">
        <f>Subscribers!C13*Inputs!$B$15</f>
      </c>
      <c r="D14" s="14">
        <f>Subscribers!D13*Inputs!$B$15</f>
      </c>
      <c r="E14" s="14">
        <f>Subscribers!E13*Inputs!$B$15</f>
      </c>
      <c r="F14" s="14">
        <f>Subscribers!F13*Inputs!$B$15</f>
      </c>
      <c r="G14" s="14">
        <f>Subscribers!G13*Inputs!$B$15</f>
      </c>
      <c r="H14" s="14">
        <f>Subscribers!H13*Inputs!$B$15</f>
      </c>
      <c r="I14" s="14">
        <f>Subscribers!I13*Inputs!$B$15</f>
      </c>
      <c r="J14" s="14">
        <f>Subscribers!J13*Inputs!$B$15</f>
      </c>
      <c r="K14" s="14">
        <f>Subscribers!K13*Inputs!$B$15</f>
      </c>
      <c r="L14" s="14">
        <f>Subscribers!L13*Inputs!$B$15</f>
      </c>
      <c r="M14" s="14">
        <f>Subscribers!M13*Inputs!$B$15</f>
      </c>
      <c r="N14" s="14">
        <f>SUM(B14:M14)</f>
      </c>
    </row>
    <row r="15" spans="1:14" x14ac:dyDescent="0.25">
      <c r="A15" s="4" t="s">
        <v>70</v>
      </c>
      <c r="B15" s="14">
        <f>B8*Inputs!$B$16</f>
      </c>
      <c r="C15" s="14">
        <f>C8*Inputs!$B$16</f>
      </c>
      <c r="D15" s="14">
        <f>D8*Inputs!$B$16</f>
      </c>
      <c r="E15" s="14">
        <f>E8*Inputs!$B$16</f>
      </c>
      <c r="F15" s="14">
        <f>F8*Inputs!$B$16</f>
      </c>
      <c r="G15" s="14">
        <f>G8*Inputs!$B$16</f>
      </c>
      <c r="H15" s="14">
        <f>H8*Inputs!$B$16</f>
      </c>
      <c r="I15" s="14">
        <f>I8*Inputs!$B$16</f>
      </c>
      <c r="J15" s="14">
        <f>J8*Inputs!$B$16</f>
      </c>
      <c r="K15" s="14">
        <f>K8*Inputs!$B$16</f>
      </c>
      <c r="L15" s="14">
        <f>L8*Inputs!$B$16</f>
      </c>
      <c r="M15" s="14">
        <f>M8*Inputs!$B$16</f>
      </c>
      <c r="N15" s="14">
        <f>SUM(B15:M15)</f>
      </c>
    </row>
    <row r="16" spans="1:14" x14ac:dyDescent="0.25">
      <c r="A16" s="15" t="s">
        <v>71</v>
      </c>
      <c r="B16" s="16">
        <f>SUM(B11:B15)</f>
      </c>
      <c r="C16" s="16">
        <f>SUM(C11:C15)</f>
      </c>
      <c r="D16" s="16">
        <f>SUM(D11:D15)</f>
      </c>
      <c r="E16" s="16">
        <f>SUM(E11:E15)</f>
      </c>
      <c r="F16" s="16">
        <f>SUM(F11:F15)</f>
      </c>
      <c r="G16" s="16">
        <f>SUM(G11:G15)</f>
      </c>
      <c r="H16" s="16">
        <f>SUM(H11:H15)</f>
      </c>
      <c r="I16" s="16">
        <f>SUM(I11:I15)</f>
      </c>
      <c r="J16" s="16">
        <f>SUM(J11:J15)</f>
      </c>
      <c r="K16" s="16">
        <f>SUM(K11:K15)</f>
      </c>
      <c r="L16" s="16">
        <f>SUM(L11:L15)</f>
      </c>
      <c r="M16" s="16">
        <f>SUM(M11:M15)</f>
      </c>
      <c r="N16" s="16">
        <f>SUM(B16:M16)</f>
      </c>
    </row>
    <row r="18" ht="20" customHeight="1" spans="1:14" x14ac:dyDescent="0.25">
      <c r="A18" s="3" t="s">
        <v>72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15" t="s">
        <v>73</v>
      </c>
      <c r="B19" s="20">
        <f>B8-B16</f>
      </c>
      <c r="C19" s="20">
        <f>C8-C16</f>
      </c>
      <c r="D19" s="20">
        <f>D8-D16</f>
      </c>
      <c r="E19" s="20">
        <f>E8-E16</f>
      </c>
      <c r="F19" s="20">
        <f>F8-F16</f>
      </c>
      <c r="G19" s="20">
        <f>G8-G16</f>
      </c>
      <c r="H19" s="20">
        <f>H8-H16</f>
      </c>
      <c r="I19" s="20">
        <f>I8-I16</f>
      </c>
      <c r="J19" s="20">
        <f>J8-J16</f>
      </c>
      <c r="K19" s="20">
        <f>K8-K16</f>
      </c>
      <c r="L19" s="20">
        <f>L8-L16</f>
      </c>
      <c r="M19" s="20">
        <f>M8-M16</f>
      </c>
      <c r="N19" s="20">
        <f>SUM(B19:M19)</f>
      </c>
    </row>
    <row r="20" spans="1:14" x14ac:dyDescent="0.25">
      <c r="A20" s="4" t="s">
        <v>74</v>
      </c>
      <c r="B20" s="19">
        <f>IF(B8=0,"—",B19/B8)</f>
      </c>
      <c r="C20" s="19">
        <f>IF(C8=0,"—",C19/C8)</f>
      </c>
      <c r="D20" s="19">
        <f>IF(D8=0,"—",D19/D8)</f>
      </c>
      <c r="E20" s="19">
        <f>IF(E8=0,"—",E19/E8)</f>
      </c>
      <c r="F20" s="19">
        <f>IF(F8=0,"—",F19/F8)</f>
      </c>
      <c r="G20" s="19">
        <f>IF(G8=0,"—",G19/G8)</f>
      </c>
      <c r="H20" s="19">
        <f>IF(H8=0,"—",H19/H8)</f>
      </c>
      <c r="I20" s="19">
        <f>IF(I8=0,"—",I19/I8)</f>
      </c>
      <c r="J20" s="19">
        <f>IF(J8=0,"—",J19/J8)</f>
      </c>
      <c r="K20" s="19">
        <f>IF(K8=0,"—",K19/K8)</f>
      </c>
      <c r="L20" s="19">
        <f>IF(L8=0,"—",L19/L8)</f>
      </c>
      <c r="M20" s="19">
        <f>IF(M8=0,"—",M19/M8)</f>
      </c>
      <c r="N20" s="19">
        <f>IF(N8=0,"—",N19/N8)</f>
      </c>
    </row>
    <row r="22" ht="20" customHeight="1" spans="1:14" x14ac:dyDescent="0.25">
      <c r="A22" s="3" t="s">
        <v>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4" t="s">
        <v>37</v>
      </c>
      <c r="B23" s="14">
        <f>Inputs!B31</f>
      </c>
      <c r="C23" s="14">
        <f>Inputs!C31</f>
      </c>
      <c r="D23" s="14">
        <f>Inputs!D31</f>
      </c>
      <c r="E23" s="14">
        <f>Inputs!E31</f>
      </c>
      <c r="F23" s="14">
        <f>Inputs!F31</f>
      </c>
      <c r="G23" s="14">
        <f>Inputs!G31</f>
      </c>
      <c r="H23" s="14">
        <f>Inputs!H31</f>
      </c>
      <c r="I23" s="14">
        <f>Inputs!I31</f>
      </c>
      <c r="J23" s="14">
        <f>Inputs!J31</f>
      </c>
      <c r="K23" s="14">
        <f>Inputs!K31</f>
      </c>
      <c r="L23" s="14">
        <f>Inputs!L31</f>
      </c>
      <c r="M23" s="14">
        <f>Inputs!M31</f>
      </c>
      <c r="N23" s="14">
        <f>SUM(B23:M23)</f>
      </c>
    </row>
    <row r="24" spans="1:14" x14ac:dyDescent="0.25">
      <c r="A24" s="4" t="s">
        <v>38</v>
      </c>
      <c r="B24" s="14">
        <f>Inputs!B32</f>
      </c>
      <c r="C24" s="14">
        <f>Inputs!C32</f>
      </c>
      <c r="D24" s="14">
        <f>Inputs!D32</f>
      </c>
      <c r="E24" s="14">
        <f>Inputs!E32</f>
      </c>
      <c r="F24" s="14">
        <f>Inputs!F32</f>
      </c>
      <c r="G24" s="14">
        <f>Inputs!G32</f>
      </c>
      <c r="H24" s="14">
        <f>Inputs!H32</f>
      </c>
      <c r="I24" s="14">
        <f>Inputs!I32</f>
      </c>
      <c r="J24" s="14">
        <f>Inputs!J32</f>
      </c>
      <c r="K24" s="14">
        <f>Inputs!K32</f>
      </c>
      <c r="L24" s="14">
        <f>Inputs!L32</f>
      </c>
      <c r="M24" s="14">
        <f>Inputs!M32</f>
      </c>
      <c r="N24" s="14">
        <f>SUM(B24:M24)</f>
      </c>
    </row>
    <row r="25" spans="1:14" x14ac:dyDescent="0.25">
      <c r="A25" s="4" t="s">
        <v>39</v>
      </c>
      <c r="B25" s="14">
        <f>Inputs!B33</f>
      </c>
      <c r="C25" s="14">
        <f>Inputs!C33</f>
      </c>
      <c r="D25" s="14">
        <f>Inputs!D33</f>
      </c>
      <c r="E25" s="14">
        <f>Inputs!E33</f>
      </c>
      <c r="F25" s="14">
        <f>Inputs!F33</f>
      </c>
      <c r="G25" s="14">
        <f>Inputs!G33</f>
      </c>
      <c r="H25" s="14">
        <f>Inputs!H33</f>
      </c>
      <c r="I25" s="14">
        <f>Inputs!I33</f>
      </c>
      <c r="J25" s="14">
        <f>Inputs!J33</f>
      </c>
      <c r="K25" s="14">
        <f>Inputs!K33</f>
      </c>
      <c r="L25" s="14">
        <f>Inputs!L33</f>
      </c>
      <c r="M25" s="14">
        <f>Inputs!M33</f>
      </c>
      <c r="N25" s="14">
        <f>SUM(B25:M25)</f>
      </c>
    </row>
    <row r="26" spans="1:14" x14ac:dyDescent="0.25">
      <c r="A26" s="4" t="s">
        <v>40</v>
      </c>
      <c r="B26" s="14">
        <f>Inputs!B34</f>
      </c>
      <c r="C26" s="14">
        <f>Inputs!C34</f>
      </c>
      <c r="D26" s="14">
        <f>Inputs!D34</f>
      </c>
      <c r="E26" s="14">
        <f>Inputs!E34</f>
      </c>
      <c r="F26" s="14">
        <f>Inputs!F34</f>
      </c>
      <c r="G26" s="14">
        <f>Inputs!G34</f>
      </c>
      <c r="H26" s="14">
        <f>Inputs!H34</f>
      </c>
      <c r="I26" s="14">
        <f>Inputs!I34</f>
      </c>
      <c r="J26" s="14">
        <f>Inputs!J34</f>
      </c>
      <c r="K26" s="14">
        <f>Inputs!K34</f>
      </c>
      <c r="L26" s="14">
        <f>Inputs!L34</f>
      </c>
      <c r="M26" s="14">
        <f>Inputs!M34</f>
      </c>
      <c r="N26" s="14">
        <f>SUM(B26:M26)</f>
      </c>
    </row>
    <row r="27" spans="1:14" x14ac:dyDescent="0.25">
      <c r="A27" s="4" t="s">
        <v>41</v>
      </c>
      <c r="B27" s="14">
        <f>Inputs!B35</f>
      </c>
      <c r="C27" s="14">
        <f>Inputs!C35</f>
      </c>
      <c r="D27" s="14">
        <f>Inputs!D35</f>
      </c>
      <c r="E27" s="14">
        <f>Inputs!E35</f>
      </c>
      <c r="F27" s="14">
        <f>Inputs!F35</f>
      </c>
      <c r="G27" s="14">
        <f>Inputs!G35</f>
      </c>
      <c r="H27" s="14">
        <f>Inputs!H35</f>
      </c>
      <c r="I27" s="14">
        <f>Inputs!I35</f>
      </c>
      <c r="J27" s="14">
        <f>Inputs!J35</f>
      </c>
      <c r="K27" s="14">
        <f>Inputs!K35</f>
      </c>
      <c r="L27" s="14">
        <f>Inputs!L35</f>
      </c>
      <c r="M27" s="14">
        <f>Inputs!M35</f>
      </c>
      <c r="N27" s="14">
        <f>SUM(B27:M27)</f>
      </c>
    </row>
    <row r="28" spans="1:14" x14ac:dyDescent="0.25">
      <c r="A28" s="4" t="s">
        <v>42</v>
      </c>
      <c r="B28" s="14">
        <f>Inputs!B36</f>
      </c>
      <c r="C28" s="14">
        <f>Inputs!C36</f>
      </c>
      <c r="D28" s="14">
        <f>Inputs!D36</f>
      </c>
      <c r="E28" s="14">
        <f>Inputs!E36</f>
      </c>
      <c r="F28" s="14">
        <f>Inputs!F36</f>
      </c>
      <c r="G28" s="14">
        <f>Inputs!G36</f>
      </c>
      <c r="H28" s="14">
        <f>Inputs!H36</f>
      </c>
      <c r="I28" s="14">
        <f>Inputs!I36</f>
      </c>
      <c r="J28" s="14">
        <f>Inputs!J36</f>
      </c>
      <c r="K28" s="14">
        <f>Inputs!K36</f>
      </c>
      <c r="L28" s="14">
        <f>Inputs!L36</f>
      </c>
      <c r="M28" s="14">
        <f>Inputs!M36</f>
      </c>
      <c r="N28" s="14">
        <f>SUM(B28:M28)</f>
      </c>
    </row>
    <row r="29" spans="1:14" x14ac:dyDescent="0.25">
      <c r="A29" s="4" t="s">
        <v>43</v>
      </c>
      <c r="B29" s="14">
        <f>Inputs!B37</f>
      </c>
      <c r="C29" s="14">
        <f>Inputs!C37</f>
      </c>
      <c r="D29" s="14">
        <f>Inputs!D37</f>
      </c>
      <c r="E29" s="14">
        <f>Inputs!E37</f>
      </c>
      <c r="F29" s="14">
        <f>Inputs!F37</f>
      </c>
      <c r="G29" s="14">
        <f>Inputs!G37</f>
      </c>
      <c r="H29" s="14">
        <f>Inputs!H37</f>
      </c>
      <c r="I29" s="14">
        <f>Inputs!I37</f>
      </c>
      <c r="J29" s="14">
        <f>Inputs!J37</f>
      </c>
      <c r="K29" s="14">
        <f>Inputs!K37</f>
      </c>
      <c r="L29" s="14">
        <f>Inputs!L37</f>
      </c>
      <c r="M29" s="14">
        <f>Inputs!M37</f>
      </c>
      <c r="N29" s="14">
        <f>SUM(B29:M29)</f>
      </c>
    </row>
    <row r="30" spans="1:14" x14ac:dyDescent="0.25">
      <c r="A30" s="4" t="s">
        <v>44</v>
      </c>
      <c r="B30" s="14">
        <f>Inputs!B38</f>
      </c>
      <c r="C30" s="14">
        <f>Inputs!C38</f>
      </c>
      <c r="D30" s="14">
        <f>Inputs!D38</f>
      </c>
      <c r="E30" s="14">
        <f>Inputs!E38</f>
      </c>
      <c r="F30" s="14">
        <f>Inputs!F38</f>
      </c>
      <c r="G30" s="14">
        <f>Inputs!G38</f>
      </c>
      <c r="H30" s="14">
        <f>Inputs!H38</f>
      </c>
      <c r="I30" s="14">
        <f>Inputs!I38</f>
      </c>
      <c r="J30" s="14">
        <f>Inputs!J38</f>
      </c>
      <c r="K30" s="14">
        <f>Inputs!K38</f>
      </c>
      <c r="L30" s="14">
        <f>Inputs!L38</f>
      </c>
      <c r="M30" s="14">
        <f>Inputs!M38</f>
      </c>
      <c r="N30" s="14">
        <f>SUM(B30:M30)</f>
      </c>
    </row>
    <row r="31" spans="1:14" x14ac:dyDescent="0.25">
      <c r="A31" s="15" t="s">
        <v>76</v>
      </c>
      <c r="B31" s="16">
        <f>SUM(B23:B30)</f>
      </c>
      <c r="C31" s="16">
        <f>SUM(C23:C30)</f>
      </c>
      <c r="D31" s="16">
        <f>SUM(D23:D30)</f>
      </c>
      <c r="E31" s="16">
        <f>SUM(E23:E30)</f>
      </c>
      <c r="F31" s="16">
        <f>SUM(F23:F30)</f>
      </c>
      <c r="G31" s="16">
        <f>SUM(G23:G30)</f>
      </c>
      <c r="H31" s="16">
        <f>SUM(H23:H30)</f>
      </c>
      <c r="I31" s="16">
        <f>SUM(I23:I30)</f>
      </c>
      <c r="J31" s="16">
        <f>SUM(J23:J30)</f>
      </c>
      <c r="K31" s="16">
        <f>SUM(K23:K30)</f>
      </c>
      <c r="L31" s="16">
        <f>SUM(L23:L30)</f>
      </c>
      <c r="M31" s="16">
        <f>SUM(M23:M30)</f>
      </c>
      <c r="N31" s="16">
        <f>SUM(B31:M31)</f>
      </c>
    </row>
    <row r="33" ht="20" customHeight="1" spans="1:14" x14ac:dyDescent="0.25">
      <c r="A33" s="3" t="s">
        <v>77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15" t="s">
        <v>78</v>
      </c>
      <c r="B34" s="20">
        <f>B19-B31</f>
      </c>
      <c r="C34" s="20">
        <f>C19-C31</f>
      </c>
      <c r="D34" s="20">
        <f>D19-D31</f>
      </c>
      <c r="E34" s="20">
        <f>E19-E31</f>
      </c>
      <c r="F34" s="20">
        <f>F19-F31</f>
      </c>
      <c r="G34" s="20">
        <f>G19-G31</f>
      </c>
      <c r="H34" s="20">
        <f>H19-H31</f>
      </c>
      <c r="I34" s="20">
        <f>I19-I31</f>
      </c>
      <c r="J34" s="20">
        <f>J19-J31</f>
      </c>
      <c r="K34" s="20">
        <f>K19-K31</f>
      </c>
      <c r="L34" s="20">
        <f>L19-L31</f>
      </c>
      <c r="M34" s="20">
        <f>M19-M31</f>
      </c>
      <c r="N34" s="20">
        <f>SUM(B34:M34)</f>
      </c>
    </row>
    <row r="36" ht="20" customHeight="1" spans="1:14" x14ac:dyDescent="0.25">
      <c r="A36" s="3" t="s">
        <v>79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4" t="s">
        <v>80</v>
      </c>
      <c r="B37" s="14">
        <f>Inputs!$B$22</f>
      </c>
      <c r="C37" s="14">
        <f>Inputs!$B$22</f>
      </c>
      <c r="D37" s="14">
        <f>Inputs!$B$22</f>
      </c>
      <c r="E37" s="14">
        <f>Inputs!$B$22</f>
      </c>
      <c r="F37" s="14">
        <f>Inputs!$B$22</f>
      </c>
      <c r="G37" s="14">
        <f>Inputs!$B$22</f>
      </c>
      <c r="H37" s="14">
        <f>Inputs!$B$22</f>
      </c>
      <c r="I37" s="14">
        <f>Inputs!$B$22</f>
      </c>
      <c r="J37" s="14">
        <f>Inputs!$B$22</f>
      </c>
      <c r="K37" s="14">
        <f>Inputs!$B$22</f>
      </c>
      <c r="L37" s="14">
        <f>Inputs!$B$22</f>
      </c>
      <c r="M37" s="14">
        <f>Inputs!$B$22</f>
      </c>
      <c r="N37" s="14">
        <f>SUM(B37:M37)</f>
      </c>
    </row>
    <row r="39" ht="20" customHeight="1" spans="1:14" x14ac:dyDescent="0.25">
      <c r="A39" s="3" t="s">
        <v>81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15" t="s">
        <v>82</v>
      </c>
      <c r="B40" s="20">
        <f>B34-B37</f>
      </c>
      <c r="C40" s="20">
        <f>C34-C37</f>
      </c>
      <c r="D40" s="20">
        <f>D34-D37</f>
      </c>
      <c r="E40" s="20">
        <f>E34-E37</f>
      </c>
      <c r="F40" s="20">
        <f>F34-F37</f>
      </c>
      <c r="G40" s="20">
        <f>G34-G37</f>
      </c>
      <c r="H40" s="20">
        <f>H34-H37</f>
      </c>
      <c r="I40" s="20">
        <f>I34-I37</f>
      </c>
      <c r="J40" s="20">
        <f>J34-J37</f>
      </c>
      <c r="K40" s="20">
        <f>K34-K37</f>
      </c>
      <c r="L40" s="20">
        <f>L34-L37</f>
      </c>
      <c r="M40" s="20">
        <f>M34-M37</f>
      </c>
      <c r="N40" s="20">
        <f>SUM(B40:M40)</f>
      </c>
    </row>
  </sheetData>
  <mergeCells count="8">
    <mergeCell ref="A1:N1"/>
    <mergeCell ref="A4:N4"/>
    <mergeCell ref="A10:N10"/>
    <mergeCell ref="A18:N18"/>
    <mergeCell ref="A22:N22"/>
    <mergeCell ref="A33:N33"/>
    <mergeCell ref="A36:N36"/>
    <mergeCell ref="A39:N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M2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3" customWidth="1"/>
  </cols>
  <sheetData>
    <row r="1" ht="32" customHeight="1" spans="1:13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22" customHeight="1" spans="1:13" x14ac:dyDescent="0.25">
      <c r="A3" s="11" t="s">
        <v>20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  <c r="K3" s="11" t="s">
        <v>30</v>
      </c>
      <c r="L3" s="11" t="s">
        <v>31</v>
      </c>
      <c r="M3" s="11" t="s">
        <v>32</v>
      </c>
    </row>
    <row r="4" ht="20" customHeight="1" spans="1:13" x14ac:dyDescent="0.25">
      <c r="A4" s="3" t="s">
        <v>84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85</v>
      </c>
      <c r="B5" s="21">
        <v>0</v>
      </c>
      <c r="C5" s="21">
        <f>B17</f>
      </c>
      <c r="D5" s="21">
        <f>C17</f>
      </c>
      <c r="E5" s="21">
        <f>D17</f>
      </c>
      <c r="F5" s="21">
        <f>E17</f>
      </c>
      <c r="G5" s="21">
        <f>F17</f>
      </c>
      <c r="H5" s="21">
        <f>G17</f>
      </c>
      <c r="I5" s="21">
        <f>H17</f>
      </c>
      <c r="J5" s="21">
        <f>I17</f>
      </c>
      <c r="K5" s="21">
        <f>J17</f>
      </c>
      <c r="L5" s="21">
        <f>K17</f>
      </c>
      <c r="M5" s="21">
        <f>L17</f>
      </c>
    </row>
    <row r="6" spans="1:13" x14ac:dyDescent="0.25">
      <c r="A6" s="4" t="s">
        <v>86</v>
      </c>
      <c r="B6" s="14">
        <f>Inputs!$B$19</f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</row>
    <row r="7" spans="1:13" x14ac:dyDescent="0.25">
      <c r="A7" s="4" t="s">
        <v>87</v>
      </c>
      <c r="B7" s="14">
        <f>PnL!B8</f>
      </c>
      <c r="C7" s="14">
        <f>PnL!C8</f>
      </c>
      <c r="D7" s="14">
        <f>PnL!D8</f>
      </c>
      <c r="E7" s="14">
        <f>PnL!E8</f>
      </c>
      <c r="F7" s="14">
        <f>PnL!F8</f>
      </c>
      <c r="G7" s="14">
        <f>PnL!G8</f>
      </c>
      <c r="H7" s="14">
        <f>PnL!H8</f>
      </c>
      <c r="I7" s="14">
        <f>PnL!I8</f>
      </c>
      <c r="J7" s="14">
        <f>PnL!J8</f>
      </c>
      <c r="K7" s="14">
        <f>PnL!K8</f>
      </c>
      <c r="L7" s="14">
        <f>PnL!L8</f>
      </c>
      <c r="M7" s="14">
        <f>PnL!M8</f>
      </c>
    </row>
    <row r="9" ht="20" customHeight="1" spans="1:13" x14ac:dyDescent="0.25">
      <c r="A9" s="3" t="s">
        <v>88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4" t="s">
        <v>89</v>
      </c>
      <c r="B10" s="21">
        <f>-PnL!B16</f>
      </c>
      <c r="C10" s="21">
        <f>-PnL!C16</f>
      </c>
      <c r="D10" s="21">
        <f>-PnL!D16</f>
      </c>
      <c r="E10" s="21">
        <f>-PnL!E16</f>
      </c>
      <c r="F10" s="21">
        <f>-PnL!F16</f>
      </c>
      <c r="G10" s="21">
        <f>-PnL!G16</f>
      </c>
      <c r="H10" s="21">
        <f>-PnL!H16</f>
      </c>
      <c r="I10" s="21">
        <f>-PnL!I16</f>
      </c>
      <c r="J10" s="21">
        <f>-PnL!J16</f>
      </c>
      <c r="K10" s="21">
        <f>-PnL!K16</f>
      </c>
      <c r="L10" s="21">
        <f>-PnL!L16</f>
      </c>
      <c r="M10" s="21">
        <f>-PnL!M16</f>
      </c>
    </row>
    <row r="11" spans="1:13" x14ac:dyDescent="0.25">
      <c r="A11" s="4" t="s">
        <v>90</v>
      </c>
      <c r="B11" s="21">
        <f>-PnL!B31</f>
      </c>
      <c r="C11" s="21">
        <f>-PnL!C31</f>
      </c>
      <c r="D11" s="21">
        <f>-PnL!D31</f>
      </c>
      <c r="E11" s="21">
        <f>-PnL!E31</f>
      </c>
      <c r="F11" s="21">
        <f>-PnL!F31</f>
      </c>
      <c r="G11" s="21">
        <f>-PnL!G31</f>
      </c>
      <c r="H11" s="21">
        <f>-PnL!H31</f>
      </c>
      <c r="I11" s="21">
        <f>-PnL!I31</f>
      </c>
      <c r="J11" s="21">
        <f>-PnL!J31</f>
      </c>
      <c r="K11" s="21">
        <f>-PnL!K31</f>
      </c>
      <c r="L11" s="21">
        <f>-PnL!L31</f>
      </c>
      <c r="M11" s="21">
        <f>-PnL!M31</f>
      </c>
    </row>
    <row r="12" spans="1:13" x14ac:dyDescent="0.25">
      <c r="A12" s="4" t="s">
        <v>91</v>
      </c>
      <c r="B12" s="21">
        <f>-PnL!B37</f>
      </c>
      <c r="C12" s="21">
        <f>-PnL!C37</f>
      </c>
      <c r="D12" s="21">
        <f>-PnL!D37</f>
      </c>
      <c r="E12" s="21">
        <f>-PnL!E37</f>
      </c>
      <c r="F12" s="21">
        <f>-PnL!F37</f>
      </c>
      <c r="G12" s="21">
        <f>-PnL!G37</f>
      </c>
      <c r="H12" s="21">
        <f>-PnL!H37</f>
      </c>
      <c r="I12" s="21">
        <f>-PnL!I37</f>
      </c>
      <c r="J12" s="21">
        <f>-PnL!J37</f>
      </c>
      <c r="K12" s="21">
        <f>-PnL!K37</f>
      </c>
      <c r="L12" s="21">
        <f>-PnL!L37</f>
      </c>
      <c r="M12" s="21">
        <f>-PnL!M37</f>
      </c>
    </row>
    <row r="13" spans="1:13" x14ac:dyDescent="0.25">
      <c r="A13" s="15" t="s">
        <v>92</v>
      </c>
      <c r="B13" s="20">
        <f>SUM(B10:B12)</f>
      </c>
      <c r="C13" s="20">
        <f>SUM(C10:C12)</f>
      </c>
      <c r="D13" s="20">
        <f>SUM(D10:D12)</f>
      </c>
      <c r="E13" s="20">
        <f>SUM(E10:E12)</f>
      </c>
      <c r="F13" s="20">
        <f>SUM(F10:F12)</f>
      </c>
      <c r="G13" s="20">
        <f>SUM(G10:G12)</f>
      </c>
      <c r="H13" s="20">
        <f>SUM(H10:H12)</f>
      </c>
      <c r="I13" s="20">
        <f>SUM(I10:I12)</f>
      </c>
      <c r="J13" s="20">
        <f>SUM(J10:J12)</f>
      </c>
      <c r="K13" s="20">
        <f>SUM(K10:K12)</f>
      </c>
      <c r="L13" s="20">
        <f>SUM(L10:L12)</f>
      </c>
      <c r="M13" s="20">
        <f>SUM(M10:M12)</f>
      </c>
    </row>
    <row r="15" ht="20" customHeight="1" spans="1:13" x14ac:dyDescent="0.25">
      <c r="A15" s="3" t="s">
        <v>93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94</v>
      </c>
      <c r="B16" s="21">
        <f>B6+B7+B13</f>
      </c>
      <c r="C16" s="21">
        <f>C6+C7+C13</f>
      </c>
      <c r="D16" s="21">
        <f>D6+D7+D13</f>
      </c>
      <c r="E16" s="21">
        <f>E6+E7+E13</f>
      </c>
      <c r="F16" s="21">
        <f>F6+F7+F13</f>
      </c>
      <c r="G16" s="21">
        <f>G6+G7+G13</f>
      </c>
      <c r="H16" s="21">
        <f>H6+H7+H13</f>
      </c>
      <c r="I16" s="21">
        <f>I6+I7+I13</f>
      </c>
      <c r="J16" s="21">
        <f>J6+J7+J13</f>
      </c>
      <c r="K16" s="21">
        <f>K6+K7+K13</f>
      </c>
      <c r="L16" s="21">
        <f>L6+L7+L13</f>
      </c>
      <c r="M16" s="21">
        <f>M6+M7+M13</f>
      </c>
    </row>
    <row r="17" spans="1:13" x14ac:dyDescent="0.25">
      <c r="A17" s="15" t="s">
        <v>95</v>
      </c>
      <c r="B17" s="20">
        <f>B5+B16</f>
      </c>
      <c r="C17" s="20">
        <f>C5+C16</f>
      </c>
      <c r="D17" s="20">
        <f>D5+D16</f>
      </c>
      <c r="E17" s="20">
        <f>E5+E16</f>
      </c>
      <c r="F17" s="20">
        <f>F5+F16</f>
      </c>
      <c r="G17" s="20">
        <f>G5+G16</f>
      </c>
      <c r="H17" s="20">
        <f>H5+H16</f>
      </c>
      <c r="I17" s="20">
        <f>I5+I16</f>
      </c>
      <c r="J17" s="20">
        <f>J5+J16</f>
      </c>
      <c r="K17" s="20">
        <f>K5+K16</f>
      </c>
      <c r="L17" s="20">
        <f>L5+L16</f>
      </c>
      <c r="M17" s="20">
        <f>M5+M16</f>
      </c>
    </row>
    <row r="19" ht="20" customHeight="1" spans="1:13" x14ac:dyDescent="0.25">
      <c r="A19" s="3" t="s">
        <v>96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" x14ac:dyDescent="0.25">
      <c r="A20" s="4" t="s">
        <v>97</v>
      </c>
      <c r="B20" s="21">
        <f>MIN(B17:M17)</f>
      </c>
    </row>
    <row r="21" spans="1:2" x14ac:dyDescent="0.25">
      <c r="A21" s="4" t="s">
        <v>98</v>
      </c>
      <c r="B21" s="22">
        <f>IF(MIN(B17:M17)&gt;=0,"YES","NO")</f>
      </c>
    </row>
    <row r="22" spans="1:2" x14ac:dyDescent="0.25">
      <c r="A22" s="4" t="s">
        <v>99</v>
      </c>
      <c r="B22" s="21">
        <f>M17</f>
      </c>
    </row>
    <row r="23" spans="1:2" x14ac:dyDescent="0.25">
      <c r="A23" s="4" t="s">
        <v>100</v>
      </c>
      <c r="B23" s="23">
        <f>IF(PnL!M34&gt;0,PnL!M34/PnL!M37,"Pre-break-even")</f>
      </c>
    </row>
  </sheetData>
  <mergeCells count="5">
    <mergeCell ref="A1:M1"/>
    <mergeCell ref="A4:M4"/>
    <mergeCell ref="A9:M9"/>
    <mergeCell ref="A15:M15"/>
    <mergeCell ref="A19:M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6B"/>
  </sheetPr>
  <dimension ref="A1:B22"/>
  <sheetFormatPr defaultRowHeight="15" outlineLevelRow="0" outlineLevelCol="0" x14ac:dyDescent="55"/>
  <cols>
    <col min="1" max="1" width="45" customWidth="1"/>
    <col min="2" max="2" width="22" customWidth="1"/>
  </cols>
  <sheetData>
    <row r="1" ht="32" customHeight="1" spans="1:2" x14ac:dyDescent="0.25">
      <c r="A1" s="1" t="s">
        <v>101</v>
      </c>
      <c r="B1" s="1"/>
    </row>
    <row r="3" ht="22" customHeight="1" spans="1:2" x14ac:dyDescent="0.25">
      <c r="A3" s="11" t="s">
        <v>20</v>
      </c>
      <c r="B3" s="11" t="s">
        <v>102</v>
      </c>
    </row>
    <row r="4" ht="20" customHeight="1" spans="1:2" x14ac:dyDescent="0.25">
      <c r="A4" s="3" t="s">
        <v>103</v>
      </c>
      <c r="B4" s="3"/>
    </row>
    <row r="5" spans="1:2" x14ac:dyDescent="0.25">
      <c r="A5" s="4" t="s">
        <v>104</v>
      </c>
      <c r="B5" s="21">
        <f>CashFlow!M17</f>
      </c>
    </row>
    <row r="6" spans="1:2" x14ac:dyDescent="0.25">
      <c r="A6" s="4" t="s">
        <v>105</v>
      </c>
      <c r="B6" s="14">
        <f>Subscribers!M13*Inputs!$B$6</f>
      </c>
    </row>
    <row r="7" spans="1:2" x14ac:dyDescent="0.25">
      <c r="A7" s="4" t="s">
        <v>42</v>
      </c>
      <c r="B7" s="14">
        <f>SUM(Inputs!B36:M36)</f>
      </c>
    </row>
    <row r="8" spans="1:2" x14ac:dyDescent="0.25">
      <c r="A8" s="4" t="s">
        <v>106</v>
      </c>
      <c r="B8" s="14">
        <f>PnL!N26*0.8</f>
      </c>
    </row>
    <row r="9" spans="1:2" x14ac:dyDescent="0.25">
      <c r="A9" s="15" t="s">
        <v>107</v>
      </c>
      <c r="B9" s="16">
        <f>SUM(B5:B8)</f>
      </c>
    </row>
    <row r="11" ht="20" customHeight="1" spans="1:2" x14ac:dyDescent="0.25">
      <c r="A11" s="3" t="s">
        <v>108</v>
      </c>
      <c r="B11" s="3"/>
    </row>
    <row r="12" spans="1:2" x14ac:dyDescent="0.25">
      <c r="A12" s="4" t="s">
        <v>109</v>
      </c>
      <c r="B12" s="14">
        <f>Amortization!E15</f>
      </c>
    </row>
    <row r="13" spans="1:2" x14ac:dyDescent="0.25">
      <c r="A13" s="4" t="s">
        <v>110</v>
      </c>
      <c r="B13" s="14">
        <f>PnL!M16</f>
      </c>
    </row>
    <row r="14" spans="1:2" x14ac:dyDescent="0.25">
      <c r="A14" s="15" t="s">
        <v>111</v>
      </c>
      <c r="B14" s="16">
        <f>SUM(B12:B13)</f>
      </c>
    </row>
    <row r="16" ht="20" customHeight="1" spans="1:2" x14ac:dyDescent="0.25">
      <c r="A16" s="3" t="s">
        <v>112</v>
      </c>
      <c r="B16" s="3"/>
    </row>
    <row r="17" spans="1:2" x14ac:dyDescent="0.25">
      <c r="A17" s="4" t="s">
        <v>113</v>
      </c>
      <c r="B17" s="5">
        <v>0</v>
      </c>
    </row>
    <row r="18" spans="1:2" x14ac:dyDescent="0.25">
      <c r="A18" s="4" t="s">
        <v>114</v>
      </c>
      <c r="B18" s="21">
        <f>PnL!N40</f>
      </c>
    </row>
    <row r="19" spans="1:2" x14ac:dyDescent="0.25">
      <c r="A19" s="15" t="s">
        <v>115</v>
      </c>
      <c r="B19" s="20">
        <f>SUM(B17:B18)</f>
      </c>
    </row>
    <row r="21" spans="1:2" x14ac:dyDescent="0.25">
      <c r="A21" s="15" t="s">
        <v>116</v>
      </c>
      <c r="B21" s="16">
        <f>B14+B19</f>
      </c>
    </row>
    <row r="22" spans="1:2" x14ac:dyDescent="0.25">
      <c r="A22" s="4" t="s">
        <v>117</v>
      </c>
      <c r="B22" s="9">
        <f>IF(ABS(B9-B21)&lt;1,"BALANCED","CHECK ERROR")</f>
      </c>
    </row>
  </sheetData>
  <mergeCells count="4">
    <mergeCell ref="A1:B1"/>
    <mergeCell ref="A4:B4"/>
    <mergeCell ref="A11:B11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966"/>
  </sheetPr>
  <dimension ref="A1:B37"/>
  <sheetFormatPr defaultRowHeight="15" outlineLevelRow="0" outlineLevelCol="0" x14ac:dyDescent="55"/>
  <cols>
    <col min="1" max="1" width="42" customWidth="1"/>
    <col min="2" max="2" width="28" customWidth="1"/>
  </cols>
  <sheetData>
    <row r="1" ht="32" customHeight="1" spans="1:2" x14ac:dyDescent="0.25">
      <c r="A1" s="1" t="s">
        <v>118</v>
      </c>
      <c r="B1" s="1"/>
    </row>
    <row r="3" ht="22" customHeight="1" spans="1:2" x14ac:dyDescent="0.25">
      <c r="A3" s="11" t="s">
        <v>119</v>
      </c>
      <c r="B3" s="11" t="s">
        <v>120</v>
      </c>
    </row>
    <row r="4" ht="20" customHeight="1" spans="1:2" x14ac:dyDescent="0.25">
      <c r="A4" s="3" t="s">
        <v>121</v>
      </c>
      <c r="B4" s="3"/>
    </row>
    <row r="5" spans="1:2" x14ac:dyDescent="0.25">
      <c r="A5" s="4" t="s">
        <v>122</v>
      </c>
      <c r="B5" s="14">
        <f>Inputs!B19</f>
      </c>
    </row>
    <row r="6" spans="1:2" x14ac:dyDescent="0.25">
      <c r="A6" s="4" t="s">
        <v>123</v>
      </c>
      <c r="B6" s="14">
        <f>Inputs!B22</f>
      </c>
    </row>
    <row r="7" spans="1:2" x14ac:dyDescent="0.25">
      <c r="A7" s="4" t="s">
        <v>124</v>
      </c>
      <c r="B7" s="14">
        <f>PnL!N37</f>
      </c>
    </row>
    <row r="9" ht="20" customHeight="1" spans="1:2" x14ac:dyDescent="0.25">
      <c r="A9" s="3" t="s">
        <v>125</v>
      </c>
      <c r="B9" s="3"/>
    </row>
    <row r="10" spans="1:2" x14ac:dyDescent="0.25">
      <c r="A10" s="4" t="s">
        <v>126</v>
      </c>
      <c r="B10" s="14">
        <f>PnL!N8</f>
      </c>
    </row>
    <row r="11" spans="1:2" x14ac:dyDescent="0.25">
      <c r="A11" s="4" t="s">
        <v>127</v>
      </c>
      <c r="B11" s="14">
        <f>PnL!N16</f>
      </c>
    </row>
    <row r="12" spans="1:2" x14ac:dyDescent="0.25">
      <c r="A12" s="4" t="s">
        <v>128</v>
      </c>
      <c r="B12" s="21">
        <f>PnL!N19</f>
      </c>
    </row>
    <row r="13" spans="1:2" x14ac:dyDescent="0.25">
      <c r="A13" s="4" t="s">
        <v>129</v>
      </c>
      <c r="B13" s="19">
        <f>IF(PnL!N8=0,"—",PnL!N19/PnL!N8)</f>
      </c>
    </row>
    <row r="14" spans="1:2" x14ac:dyDescent="0.25">
      <c r="A14" s="4" t="s">
        <v>130</v>
      </c>
      <c r="B14" s="14">
        <f>PnL!N31</f>
      </c>
    </row>
    <row r="15" spans="1:2" x14ac:dyDescent="0.25">
      <c r="A15" s="4" t="s">
        <v>131</v>
      </c>
      <c r="B15" s="21">
        <f>PnL!N40</f>
      </c>
    </row>
    <row r="17" ht="20" customHeight="1" spans="1:2" x14ac:dyDescent="0.25">
      <c r="A17" s="3" t="s">
        <v>132</v>
      </c>
      <c r="B17" s="3"/>
    </row>
    <row r="18" spans="1:2" x14ac:dyDescent="0.25">
      <c r="A18" s="4" t="s">
        <v>133</v>
      </c>
      <c r="B18" s="21">
        <f>CashFlow!M17</f>
      </c>
    </row>
    <row r="19" spans="1:2" x14ac:dyDescent="0.25">
      <c r="A19" s="4" t="s">
        <v>134</v>
      </c>
      <c r="B19" s="21">
        <f>MIN(CashFlow!B17:M17)</f>
      </c>
    </row>
    <row r="20" spans="1:2" x14ac:dyDescent="0.25">
      <c r="A20" s="4" t="s">
        <v>98</v>
      </c>
      <c r="B20" s="22">
        <f>IF(MIN(CashFlow!B17:M17)&gt;=0,"YES","NO")</f>
      </c>
    </row>
    <row r="21" spans="1:2" x14ac:dyDescent="0.25">
      <c r="A21" s="4" t="s">
        <v>135</v>
      </c>
      <c r="B21" s="21">
        <f>CashFlow!M16</f>
      </c>
    </row>
    <row r="23" ht="20" customHeight="1" spans="1:2" x14ac:dyDescent="0.25">
      <c r="A23" s="3" t="s">
        <v>136</v>
      </c>
      <c r="B23" s="3"/>
    </row>
    <row r="24" spans="1:2" x14ac:dyDescent="0.25">
      <c r="A24" s="4" t="s">
        <v>137</v>
      </c>
      <c r="B24" s="13">
        <f>Subscribers!M13</f>
      </c>
    </row>
    <row r="25" spans="1:2" x14ac:dyDescent="0.25">
      <c r="A25" s="4" t="s">
        <v>138</v>
      </c>
      <c r="B25" s="14">
        <f>PnL!M6</f>
      </c>
    </row>
    <row r="26" spans="1:2" x14ac:dyDescent="0.25">
      <c r="A26" s="4" t="s">
        <v>139</v>
      </c>
      <c r="B26" s="14">
        <f>PnL!M8*12</f>
      </c>
    </row>
    <row r="27" spans="1:2" x14ac:dyDescent="0.25">
      <c r="A27" s="4" t="s">
        <v>140</v>
      </c>
      <c r="B27" s="14">
        <f>Inputs!B6</f>
      </c>
    </row>
    <row r="28" spans="1:2" x14ac:dyDescent="0.25">
      <c r="A28" s="4" t="s">
        <v>141</v>
      </c>
      <c r="B28" s="17">
        <f>Inputs!B9</f>
      </c>
    </row>
    <row r="30" ht="20" customHeight="1" spans="1:2" x14ac:dyDescent="0.25">
      <c r="A30" s="3" t="s">
        <v>142</v>
      </c>
      <c r="B30" s="3"/>
    </row>
    <row r="31" spans="1:2" x14ac:dyDescent="0.25">
      <c r="A31" s="4" t="s">
        <v>143</v>
      </c>
      <c r="B31" s="14">
        <f>Inputs!B12+Inputs!B13+Inputs!B14+Inputs!B15</f>
      </c>
    </row>
    <row r="32" spans="1:2" x14ac:dyDescent="0.25">
      <c r="A32" s="4" t="s">
        <v>144</v>
      </c>
      <c r="B32" s="14">
        <f>Inputs!B6-(Inputs!B12+Inputs!B13+Inputs!B14+Inputs!B15)</f>
      </c>
    </row>
    <row r="33" spans="1:2" x14ac:dyDescent="0.25">
      <c r="A33" s="4" t="s">
        <v>145</v>
      </c>
      <c r="B33" s="19">
        <f>(Inputs!B6-(Inputs!B12+Inputs!B13+Inputs!B14+Inputs!B15))/Inputs!B6</f>
      </c>
    </row>
    <row r="35" ht="20" customHeight="1" spans="1:2" x14ac:dyDescent="0.25">
      <c r="A35" s="3" t="s">
        <v>146</v>
      </c>
      <c r="B35" s="3"/>
    </row>
    <row r="36" spans="1:2" x14ac:dyDescent="0.25">
      <c r="A36" s="4" t="s">
        <v>100</v>
      </c>
      <c r="B36" s="23">
        <f>IF(PnL!M34&gt;0,PnL!M34/PnL!M37,"Pre-break-even")</f>
      </c>
    </row>
    <row r="37" spans="1:2" x14ac:dyDescent="0.25">
      <c r="A37" s="4" t="s">
        <v>147</v>
      </c>
      <c r="B37" t="s">
        <v>148</v>
      </c>
    </row>
  </sheetData>
  <mergeCells count="7">
    <mergeCell ref="A1:B1"/>
    <mergeCell ref="A4:B4"/>
    <mergeCell ref="A9:B9"/>
    <mergeCell ref="A17:B17"/>
    <mergeCell ref="A23:B23"/>
    <mergeCell ref="A30:B30"/>
    <mergeCell ref="A35:B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30"/>
  <sheetFormatPr defaultRowHeight="15" outlineLevelRow="0" outlineLevelCol="0" x14ac:dyDescent="55"/>
  <cols>
    <col min="1" max="1" width="10" customWidth="1"/>
    <col min="2" max="4" width="15" customWidth="1"/>
    <col min="5" max="5" width="18" customWidth="1"/>
  </cols>
  <sheetData>
    <row r="1" ht="32" customHeight="1" spans="1:5" x14ac:dyDescent="0.25">
      <c r="A1" s="1" t="s">
        <v>149</v>
      </c>
      <c r="B1" s="1"/>
      <c r="C1" s="1"/>
      <c r="D1" s="1"/>
      <c r="E1" s="1"/>
    </row>
    <row r="3" ht="22" customHeight="1" spans="1:5" x14ac:dyDescent="0.25">
      <c r="A3" s="11" t="s">
        <v>150</v>
      </c>
      <c r="B3" s="11" t="s">
        <v>151</v>
      </c>
      <c r="C3" s="11" t="s">
        <v>152</v>
      </c>
      <c r="D3" s="11" t="s">
        <v>153</v>
      </c>
      <c r="E3" s="11" t="s">
        <v>154</v>
      </c>
    </row>
    <row r="4" spans="1:5" x14ac:dyDescent="0.25">
      <c r="A4">
        <v>1</v>
      </c>
      <c r="B4" s="14">
        <f>Inputs!$B$22</f>
      </c>
      <c r="C4" s="14">
        <f>B4-D4</f>
      </c>
      <c r="D4" s="14">
        <f>ROUND(Inputs!$B$19*Inputs!$B$21/12,2)</f>
      </c>
      <c r="E4" s="14">
        <f>Inputs!$B$19-C4</f>
      </c>
    </row>
    <row r="5" spans="1:5" x14ac:dyDescent="0.25">
      <c r="A5" s="24">
        <v>2</v>
      </c>
      <c r="B5" s="25">
        <f>Inputs!$B$22</f>
      </c>
      <c r="C5" s="25">
        <f>B5-D5</f>
      </c>
      <c r="D5" s="25">
        <f>ROUND(E4*Inputs!$B$21/12,2)</f>
      </c>
      <c r="E5" s="25">
        <f>E4-C5</f>
      </c>
    </row>
    <row r="6" spans="1:5" x14ac:dyDescent="0.25">
      <c r="A6">
        <v>3</v>
      </c>
      <c r="B6" s="14">
        <f>Inputs!$B$22</f>
      </c>
      <c r="C6" s="14">
        <f>B6-D6</f>
      </c>
      <c r="D6" s="14">
        <f>ROUND(E5*Inputs!$B$21/12,2)</f>
      </c>
      <c r="E6" s="14">
        <f>E5-C6</f>
      </c>
    </row>
    <row r="7" spans="1:5" x14ac:dyDescent="0.25">
      <c r="A7" s="24">
        <v>4</v>
      </c>
      <c r="B7" s="25">
        <f>Inputs!$B$22</f>
      </c>
      <c r="C7" s="25">
        <f>B7-D7</f>
      </c>
      <c r="D7" s="25">
        <f>ROUND(E6*Inputs!$B$21/12,2)</f>
      </c>
      <c r="E7" s="25">
        <f>E6-C7</f>
      </c>
    </row>
    <row r="8" spans="1:5" x14ac:dyDescent="0.25">
      <c r="A8">
        <v>5</v>
      </c>
      <c r="B8" s="14">
        <f>Inputs!$B$22</f>
      </c>
      <c r="C8" s="14">
        <f>B8-D8</f>
      </c>
      <c r="D8" s="14">
        <f>ROUND(E7*Inputs!$B$21/12,2)</f>
      </c>
      <c r="E8" s="14">
        <f>E7-C8</f>
      </c>
    </row>
    <row r="9" spans="1:5" x14ac:dyDescent="0.25">
      <c r="A9" s="24">
        <v>6</v>
      </c>
      <c r="B9" s="25">
        <f>Inputs!$B$22</f>
      </c>
      <c r="C9" s="25">
        <f>B9-D9</f>
      </c>
      <c r="D9" s="25">
        <f>ROUND(E8*Inputs!$B$21/12,2)</f>
      </c>
      <c r="E9" s="25">
        <f>E8-C9</f>
      </c>
    </row>
    <row r="10" spans="1:5" x14ac:dyDescent="0.25">
      <c r="A10">
        <v>7</v>
      </c>
      <c r="B10" s="14">
        <f>Inputs!$B$22</f>
      </c>
      <c r="C10" s="14">
        <f>B10-D10</f>
      </c>
      <c r="D10" s="14">
        <f>ROUND(E9*Inputs!$B$21/12,2)</f>
      </c>
      <c r="E10" s="14">
        <f>E9-C10</f>
      </c>
    </row>
    <row r="11" spans="1:5" x14ac:dyDescent="0.25">
      <c r="A11" s="24">
        <v>8</v>
      </c>
      <c r="B11" s="25">
        <f>Inputs!$B$22</f>
      </c>
      <c r="C11" s="25">
        <f>B11-D11</f>
      </c>
      <c r="D11" s="25">
        <f>ROUND(E10*Inputs!$B$21/12,2)</f>
      </c>
      <c r="E11" s="25">
        <f>E10-C11</f>
      </c>
    </row>
    <row r="12" spans="1:5" x14ac:dyDescent="0.25">
      <c r="A12">
        <v>9</v>
      </c>
      <c r="B12" s="14">
        <f>Inputs!$B$22</f>
      </c>
      <c r="C12" s="14">
        <f>B12-D12</f>
      </c>
      <c r="D12" s="14">
        <f>ROUND(E11*Inputs!$B$21/12,2)</f>
      </c>
      <c r="E12" s="14">
        <f>E11-C12</f>
      </c>
    </row>
    <row r="13" spans="1:5" x14ac:dyDescent="0.25">
      <c r="A13" s="24">
        <v>10</v>
      </c>
      <c r="B13" s="25">
        <f>Inputs!$B$22</f>
      </c>
      <c r="C13" s="25">
        <f>B13-D13</f>
      </c>
      <c r="D13" s="25">
        <f>ROUND(E12*Inputs!$B$21/12,2)</f>
      </c>
      <c r="E13" s="25">
        <f>E12-C13</f>
      </c>
    </row>
    <row r="14" spans="1:5" x14ac:dyDescent="0.25">
      <c r="A14">
        <v>11</v>
      </c>
      <c r="B14" s="14">
        <f>Inputs!$B$22</f>
      </c>
      <c r="C14" s="14">
        <f>B14-D14</f>
      </c>
      <c r="D14" s="14">
        <f>ROUND(E13*Inputs!$B$21/12,2)</f>
      </c>
      <c r="E14" s="14">
        <f>E13-C14</f>
      </c>
    </row>
    <row r="15" spans="1:5" x14ac:dyDescent="0.25">
      <c r="A15" s="24">
        <v>12</v>
      </c>
      <c r="B15" s="25">
        <f>Inputs!$B$22</f>
      </c>
      <c r="C15" s="25">
        <f>B15-D15</f>
      </c>
      <c r="D15" s="25">
        <f>ROUND(E14*Inputs!$B$21/12,2)</f>
      </c>
      <c r="E15" s="25">
        <f>E14-C15</f>
      </c>
    </row>
    <row r="16" spans="1:5" x14ac:dyDescent="0.25">
      <c r="A16">
        <v>13</v>
      </c>
      <c r="B16" s="14">
        <f>Inputs!$B$22</f>
      </c>
      <c r="C16" s="14">
        <f>B16-D16</f>
      </c>
      <c r="D16" s="14">
        <f>ROUND(E15*Inputs!$B$21/12,2)</f>
      </c>
      <c r="E16" s="14">
        <f>E15-C16</f>
      </c>
    </row>
    <row r="17" spans="1:5" x14ac:dyDescent="0.25">
      <c r="A17" s="24">
        <v>14</v>
      </c>
      <c r="B17" s="25">
        <f>Inputs!$B$22</f>
      </c>
      <c r="C17" s="25">
        <f>B17-D17</f>
      </c>
      <c r="D17" s="25">
        <f>ROUND(E16*Inputs!$B$21/12,2)</f>
      </c>
      <c r="E17" s="25">
        <f>E16-C17</f>
      </c>
    </row>
    <row r="18" spans="1:5" x14ac:dyDescent="0.25">
      <c r="A18">
        <v>15</v>
      </c>
      <c r="B18" s="14">
        <f>Inputs!$B$22</f>
      </c>
      <c r="C18" s="14">
        <f>B18-D18</f>
      </c>
      <c r="D18" s="14">
        <f>ROUND(E17*Inputs!$B$21/12,2)</f>
      </c>
      <c r="E18" s="14">
        <f>E17-C18</f>
      </c>
    </row>
    <row r="19" spans="1:5" x14ac:dyDescent="0.25">
      <c r="A19" s="24">
        <v>16</v>
      </c>
      <c r="B19" s="25">
        <f>Inputs!$B$22</f>
      </c>
      <c r="C19" s="25">
        <f>B19-D19</f>
      </c>
      <c r="D19" s="25">
        <f>ROUND(E18*Inputs!$B$21/12,2)</f>
      </c>
      <c r="E19" s="25">
        <f>E18-C19</f>
      </c>
    </row>
    <row r="20" spans="1:5" x14ac:dyDescent="0.25">
      <c r="A20">
        <v>17</v>
      </c>
      <c r="B20" s="14">
        <f>Inputs!$B$22</f>
      </c>
      <c r="C20" s="14">
        <f>B20-D20</f>
      </c>
      <c r="D20" s="14">
        <f>ROUND(E19*Inputs!$B$21/12,2)</f>
      </c>
      <c r="E20" s="14">
        <f>E19-C20</f>
      </c>
    </row>
    <row r="21" spans="1:5" x14ac:dyDescent="0.25">
      <c r="A21" s="24">
        <v>18</v>
      </c>
      <c r="B21" s="25">
        <f>Inputs!$B$22</f>
      </c>
      <c r="C21" s="25">
        <f>B21-D21</f>
      </c>
      <c r="D21" s="25">
        <f>ROUND(E20*Inputs!$B$21/12,2)</f>
      </c>
      <c r="E21" s="25">
        <f>E20-C21</f>
      </c>
    </row>
    <row r="22" spans="1:5" x14ac:dyDescent="0.25">
      <c r="A22">
        <v>19</v>
      </c>
      <c r="B22" s="14">
        <f>Inputs!$B$22</f>
      </c>
      <c r="C22" s="14">
        <f>B22-D22</f>
      </c>
      <c r="D22" s="14">
        <f>ROUND(E21*Inputs!$B$21/12,2)</f>
      </c>
      <c r="E22" s="14">
        <f>E21-C22</f>
      </c>
    </row>
    <row r="23" spans="1:5" x14ac:dyDescent="0.25">
      <c r="A23" s="24">
        <v>20</v>
      </c>
      <c r="B23" s="25">
        <f>Inputs!$B$22</f>
      </c>
      <c r="C23" s="25">
        <f>B23-D23</f>
      </c>
      <c r="D23" s="25">
        <f>ROUND(E22*Inputs!$B$21/12,2)</f>
      </c>
      <c r="E23" s="25">
        <f>E22-C23</f>
      </c>
    </row>
    <row r="24" spans="1:5" x14ac:dyDescent="0.25">
      <c r="A24">
        <v>21</v>
      </c>
      <c r="B24" s="14">
        <f>Inputs!$B$22</f>
      </c>
      <c r="C24" s="14">
        <f>B24-D24</f>
      </c>
      <c r="D24" s="14">
        <f>ROUND(E23*Inputs!$B$21/12,2)</f>
      </c>
      <c r="E24" s="14">
        <f>E23-C24</f>
      </c>
    </row>
    <row r="25" spans="1:5" x14ac:dyDescent="0.25">
      <c r="A25" s="24">
        <v>22</v>
      </c>
      <c r="B25" s="25">
        <f>Inputs!$B$22</f>
      </c>
      <c r="C25" s="25">
        <f>B25-D25</f>
      </c>
      <c r="D25" s="25">
        <f>ROUND(E24*Inputs!$B$21/12,2)</f>
      </c>
      <c r="E25" s="25">
        <f>E24-C25</f>
      </c>
    </row>
    <row r="26" spans="1:5" x14ac:dyDescent="0.25">
      <c r="A26">
        <v>23</v>
      </c>
      <c r="B26" s="14">
        <f>Inputs!$B$22</f>
      </c>
      <c r="C26" s="14">
        <f>B26-D26</f>
      </c>
      <c r="D26" s="14">
        <f>ROUND(E25*Inputs!$B$21/12,2)</f>
      </c>
      <c r="E26" s="14">
        <f>E25-C26</f>
      </c>
    </row>
    <row r="27" spans="1:5" x14ac:dyDescent="0.25">
      <c r="A27" s="24">
        <v>24</v>
      </c>
      <c r="B27" s="25">
        <f>Inputs!$B$22</f>
      </c>
      <c r="C27" s="25">
        <f>B27-D27</f>
      </c>
      <c r="D27" s="25">
        <f>ROUND(E26*Inputs!$B$21/12,2)</f>
      </c>
      <c r="E27" s="25">
        <f>E26-C27</f>
      </c>
    </row>
    <row r="29" spans="1:5" x14ac:dyDescent="0.25">
      <c r="A29" s="15" t="s">
        <v>155</v>
      </c>
      <c r="B29" s="16">
        <f>SUM(B4:B15)</f>
      </c>
      <c r="C29" s="16">
        <f>SUM(C4:C15)</f>
      </c>
      <c r="D29" s="16">
        <f>SUM(D4:D15)</f>
      </c>
      <c r="E29" s="15"/>
    </row>
    <row r="30" spans="1:5" x14ac:dyDescent="0.25">
      <c r="A30" s="15" t="s">
        <v>156</v>
      </c>
      <c r="B30" s="16">
        <f>SUM(B16:B27)</f>
      </c>
      <c r="C30" s="16">
        <f>SUM(C16:C27)</f>
      </c>
      <c r="D30" s="16">
        <f>SUM(D16:D27)</f>
      </c>
      <c r="E30" s="15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C13"/>
  <sheetFormatPr defaultRowHeight="15" outlineLevelRow="0" outlineLevelCol="0" x14ac:dyDescent="55"/>
  <cols>
    <col min="1" max="1" width="48" customWidth="1"/>
    <col min="2" max="2" width="18" customWidth="1"/>
    <col min="3" max="3" width="14" customWidth="1"/>
  </cols>
  <sheetData>
    <row r="1" ht="32" customHeight="1" spans="1:3" x14ac:dyDescent="0.25">
      <c r="A1" s="1" t="s">
        <v>157</v>
      </c>
      <c r="B1" s="1"/>
      <c r="C1" s="1"/>
    </row>
    <row r="2" ht="22" customHeight="1" spans="1:3" x14ac:dyDescent="0.25">
      <c r="A2" s="2" t="s">
        <v>158</v>
      </c>
      <c r="B2" s="2"/>
      <c r="C2" s="2"/>
    </row>
    <row r="3" ht="22" customHeight="1" spans="1:3" x14ac:dyDescent="0.25">
      <c r="A3" s="11" t="s">
        <v>159</v>
      </c>
      <c r="B3" s="11" t="s">
        <v>102</v>
      </c>
      <c r="C3" s="11" t="s">
        <v>160</v>
      </c>
    </row>
    <row r="4" spans="1:3" x14ac:dyDescent="0.25">
      <c r="A4" s="4" t="s">
        <v>161</v>
      </c>
      <c r="B4" s="5">
        <v>50000</v>
      </c>
      <c r="C4" s="19">
        <f>B4/B$10</f>
      </c>
    </row>
    <row r="5" spans="1:3" x14ac:dyDescent="0.25">
      <c r="A5" s="4" t="s">
        <v>162</v>
      </c>
      <c r="B5" s="5">
        <v>48000</v>
      </c>
      <c r="C5" s="19">
        <f>B5/B$10</f>
      </c>
    </row>
    <row r="6" spans="1:3" x14ac:dyDescent="0.25">
      <c r="A6" s="4" t="s">
        <v>163</v>
      </c>
      <c r="B6" s="5">
        <v>43000</v>
      </c>
      <c r="C6" s="19">
        <f>B6/B$10</f>
      </c>
    </row>
    <row r="7" spans="1:3" x14ac:dyDescent="0.25">
      <c r="A7" s="4" t="s">
        <v>42</v>
      </c>
      <c r="B7" s="5">
        <v>25000</v>
      </c>
      <c r="C7" s="19">
        <f>B7/B$10</f>
      </c>
    </row>
    <row r="8" spans="1:3" x14ac:dyDescent="0.25">
      <c r="A8" s="4" t="s">
        <v>164</v>
      </c>
      <c r="B8" s="5">
        <v>22000</v>
      </c>
      <c r="C8" s="19">
        <f>B8/B$10</f>
      </c>
    </row>
    <row r="9" spans="1:3" x14ac:dyDescent="0.25">
      <c r="A9" s="4" t="s">
        <v>165</v>
      </c>
      <c r="B9" s="5">
        <v>12000</v>
      </c>
      <c r="C9" s="19">
        <f>B9/B$10</f>
      </c>
    </row>
    <row r="10" spans="1:3" x14ac:dyDescent="0.25">
      <c r="A10" s="15" t="s">
        <v>33</v>
      </c>
      <c r="B10" s="16">
        <f>SUM(B4:B9)</f>
      </c>
      <c r="C10" s="26">
        <f>B10/B10</f>
      </c>
    </row>
    <row r="12" spans="1:2" x14ac:dyDescent="0.25">
      <c r="A12" s="4" t="s">
        <v>166</v>
      </c>
      <c r="B12" s="14">
        <f>Inputs!B19</f>
      </c>
    </row>
    <row r="13" spans="1:2" x14ac:dyDescent="0.25">
      <c r="A13" s="9" t="s">
        <v>167</v>
      </c>
      <c r="B13" s="27">
        <f>B10-B12</f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Inputs</vt:lpstr>
      <vt:lpstr>Subscribers</vt:lpstr>
      <vt:lpstr>PnL</vt:lpstr>
      <vt:lpstr>CashFlow</vt:lpstr>
      <vt:lpstr>BalanceSheet</vt:lpstr>
      <vt:lpstr>KeyMetrics</vt:lpstr>
      <vt:lpstr>Amortization</vt:lpstr>
      <vt:lpstr>UseOfFunds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Techtonic LLC</dc:creator>
  <dc:title/>
  <dc:subject/>
  <dc:description/>
  <cp:keywords/>
  <cp:category/>
  <cp:lastModifiedBy>Unknown</cp:lastModifiedBy>
  <dcterms:created xsi:type="dcterms:W3CDTF">2026-02-12T17:12:25Z</dcterms:created>
  <dcterms:modified xsi:type="dcterms:W3CDTF">2026-02-12T17:12:25Z</dcterms:modified>
</cp:coreProperties>
</file>